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bookViews>
    <workbookView xWindow="0" yWindow="0" windowWidth="28770" windowHeight="5850"/>
  </bookViews>
  <sheets>
    <sheet name="20240226" sheetId="2" r:id="rId1"/>
    <sheet name="一次校准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P3" i="2"/>
  <c r="O4" i="2"/>
  <c r="P4" i="2"/>
  <c r="Q4" i="2" s="1"/>
  <c r="O5" i="2"/>
  <c r="Q5" i="2" s="1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Q17" i="2" s="1"/>
  <c r="P17" i="2"/>
  <c r="O18" i="2"/>
  <c r="P18" i="2"/>
  <c r="O19" i="2"/>
  <c r="P19" i="2"/>
  <c r="Q19" i="2" s="1"/>
  <c r="O20" i="2"/>
  <c r="Q20" i="2" s="1"/>
  <c r="P20" i="2"/>
  <c r="O21" i="2"/>
  <c r="Q21" i="2" s="1"/>
  <c r="P21" i="2"/>
  <c r="O22" i="2"/>
  <c r="P22" i="2"/>
  <c r="O23" i="2"/>
  <c r="P23" i="2"/>
  <c r="O24" i="2"/>
  <c r="P24" i="2"/>
  <c r="Q24" i="2" s="1"/>
  <c r="O25" i="2"/>
  <c r="P25" i="2"/>
  <c r="O26" i="2"/>
  <c r="Q26" i="2" s="1"/>
  <c r="P26" i="2"/>
  <c r="O27" i="2"/>
  <c r="P27" i="2"/>
  <c r="O28" i="2"/>
  <c r="P28" i="2"/>
  <c r="O29" i="2"/>
  <c r="Q29" i="2" s="1"/>
  <c r="P29" i="2"/>
  <c r="O30" i="2"/>
  <c r="P30" i="2"/>
  <c r="O31" i="2"/>
  <c r="P31" i="2"/>
  <c r="Q31" i="2" s="1"/>
  <c r="O32" i="2"/>
  <c r="P32" i="2"/>
  <c r="F32" i="2"/>
  <c r="H32" i="2" s="1"/>
  <c r="J32" i="2" s="1"/>
  <c r="G32" i="2"/>
  <c r="I32" i="2"/>
  <c r="K32" i="2"/>
  <c r="Q31" i="3"/>
  <c r="P31" i="3"/>
  <c r="O31" i="3"/>
  <c r="K31" i="3"/>
  <c r="J31" i="3"/>
  <c r="I31" i="3"/>
  <c r="H31" i="3"/>
  <c r="G31" i="3"/>
  <c r="F31" i="3"/>
  <c r="Q30" i="3"/>
  <c r="P30" i="3"/>
  <c r="O30" i="3"/>
  <c r="K30" i="3"/>
  <c r="J30" i="3"/>
  <c r="I30" i="3"/>
  <c r="H30" i="3"/>
  <c r="G30" i="3"/>
  <c r="F30" i="3"/>
  <c r="Q29" i="3"/>
  <c r="P29" i="3"/>
  <c r="O29" i="3"/>
  <c r="K29" i="3"/>
  <c r="J29" i="3"/>
  <c r="I29" i="3"/>
  <c r="H29" i="3"/>
  <c r="G29" i="3"/>
  <c r="F29" i="3"/>
  <c r="Q28" i="3"/>
  <c r="P28" i="3"/>
  <c r="O28" i="3"/>
  <c r="K28" i="3"/>
  <c r="J28" i="3"/>
  <c r="I28" i="3"/>
  <c r="H28" i="3"/>
  <c r="G28" i="3"/>
  <c r="F28" i="3"/>
  <c r="Q27" i="3"/>
  <c r="P27" i="3"/>
  <c r="O27" i="3"/>
  <c r="K27" i="3"/>
  <c r="J27" i="3"/>
  <c r="I27" i="3"/>
  <c r="H27" i="3"/>
  <c r="G27" i="3"/>
  <c r="F27" i="3"/>
  <c r="Q26" i="3"/>
  <c r="P26" i="3"/>
  <c r="O26" i="3"/>
  <c r="K26" i="3"/>
  <c r="J26" i="3"/>
  <c r="I26" i="3"/>
  <c r="H26" i="3"/>
  <c r="G26" i="3"/>
  <c r="F26" i="3"/>
  <c r="Q25" i="3"/>
  <c r="P25" i="3"/>
  <c r="O25" i="3"/>
  <c r="K25" i="3"/>
  <c r="J25" i="3"/>
  <c r="I25" i="3"/>
  <c r="H25" i="3"/>
  <c r="G25" i="3"/>
  <c r="F25" i="3"/>
  <c r="Q24" i="3"/>
  <c r="P24" i="3"/>
  <c r="O24" i="3"/>
  <c r="K24" i="3"/>
  <c r="J24" i="3"/>
  <c r="I24" i="3"/>
  <c r="H24" i="3"/>
  <c r="G24" i="3"/>
  <c r="F24" i="3"/>
  <c r="Q23" i="3"/>
  <c r="P23" i="3"/>
  <c r="O23" i="3"/>
  <c r="K23" i="3"/>
  <c r="J23" i="3"/>
  <c r="I23" i="3"/>
  <c r="H23" i="3"/>
  <c r="G23" i="3"/>
  <c r="F23" i="3"/>
  <c r="Q22" i="3"/>
  <c r="P22" i="3"/>
  <c r="O22" i="3"/>
  <c r="K22" i="3"/>
  <c r="J22" i="3"/>
  <c r="I22" i="3"/>
  <c r="H22" i="3"/>
  <c r="G22" i="3"/>
  <c r="F22" i="3"/>
  <c r="Q21" i="3"/>
  <c r="P21" i="3"/>
  <c r="O21" i="3"/>
  <c r="K21" i="3"/>
  <c r="J21" i="3"/>
  <c r="I21" i="3"/>
  <c r="H21" i="3"/>
  <c r="G21" i="3"/>
  <c r="F21" i="3"/>
  <c r="Q20" i="3"/>
  <c r="P20" i="3"/>
  <c r="O20" i="3"/>
  <c r="K20" i="3"/>
  <c r="J20" i="3"/>
  <c r="I20" i="3"/>
  <c r="H20" i="3"/>
  <c r="G20" i="3"/>
  <c r="F20" i="3"/>
  <c r="Q19" i="3"/>
  <c r="P19" i="3"/>
  <c r="O19" i="3"/>
  <c r="K19" i="3"/>
  <c r="J19" i="3"/>
  <c r="I19" i="3"/>
  <c r="H19" i="3"/>
  <c r="G19" i="3"/>
  <c r="F19" i="3"/>
  <c r="Q18" i="3"/>
  <c r="P18" i="3"/>
  <c r="O18" i="3"/>
  <c r="K18" i="3"/>
  <c r="J18" i="3"/>
  <c r="I18" i="3"/>
  <c r="H18" i="3"/>
  <c r="G18" i="3"/>
  <c r="F18" i="3"/>
  <c r="Q17" i="3"/>
  <c r="P17" i="3"/>
  <c r="O17" i="3"/>
  <c r="K17" i="3"/>
  <c r="J17" i="3"/>
  <c r="I17" i="3"/>
  <c r="H17" i="3"/>
  <c r="G17" i="3"/>
  <c r="F17" i="3"/>
  <c r="Q16" i="3"/>
  <c r="P16" i="3"/>
  <c r="O16" i="3"/>
  <c r="K16" i="3"/>
  <c r="J16" i="3"/>
  <c r="I16" i="3"/>
  <c r="H16" i="3"/>
  <c r="G16" i="3"/>
  <c r="F16" i="3"/>
  <c r="Q15" i="3"/>
  <c r="P15" i="3"/>
  <c r="O15" i="3"/>
  <c r="K15" i="3"/>
  <c r="J15" i="3"/>
  <c r="I15" i="3"/>
  <c r="H15" i="3"/>
  <c r="G15" i="3"/>
  <c r="F15" i="3"/>
  <c r="Q14" i="3"/>
  <c r="P14" i="3"/>
  <c r="O14" i="3"/>
  <c r="K14" i="3"/>
  <c r="J14" i="3"/>
  <c r="I14" i="3"/>
  <c r="H14" i="3"/>
  <c r="G14" i="3"/>
  <c r="F14" i="3"/>
  <c r="Q13" i="3"/>
  <c r="P13" i="3"/>
  <c r="O13" i="3"/>
  <c r="K13" i="3"/>
  <c r="J13" i="3"/>
  <c r="I13" i="3"/>
  <c r="H13" i="3"/>
  <c r="G13" i="3"/>
  <c r="F13" i="3"/>
  <c r="Q12" i="3"/>
  <c r="P12" i="3"/>
  <c r="O12" i="3"/>
  <c r="K12" i="3"/>
  <c r="J12" i="3"/>
  <c r="I12" i="3"/>
  <c r="H12" i="3"/>
  <c r="G12" i="3"/>
  <c r="F12" i="3"/>
  <c r="Q11" i="3"/>
  <c r="P11" i="3"/>
  <c r="O11" i="3"/>
  <c r="K11" i="3"/>
  <c r="J11" i="3"/>
  <c r="I11" i="3"/>
  <c r="H11" i="3"/>
  <c r="G11" i="3"/>
  <c r="F11" i="3"/>
  <c r="Q10" i="3"/>
  <c r="P10" i="3"/>
  <c r="O10" i="3"/>
  <c r="K10" i="3"/>
  <c r="J10" i="3"/>
  <c r="I10" i="3"/>
  <c r="H10" i="3"/>
  <c r="G10" i="3"/>
  <c r="F10" i="3"/>
  <c r="Q9" i="3"/>
  <c r="P9" i="3"/>
  <c r="O9" i="3"/>
  <c r="K9" i="3"/>
  <c r="J9" i="3"/>
  <c r="I9" i="3"/>
  <c r="H9" i="3"/>
  <c r="G9" i="3"/>
  <c r="F9" i="3"/>
  <c r="Q8" i="3"/>
  <c r="P8" i="3"/>
  <c r="O8" i="3"/>
  <c r="K8" i="3"/>
  <c r="J8" i="3"/>
  <c r="I8" i="3"/>
  <c r="H8" i="3"/>
  <c r="G8" i="3"/>
  <c r="F8" i="3"/>
  <c r="Q7" i="3"/>
  <c r="P7" i="3"/>
  <c r="O7" i="3"/>
  <c r="K7" i="3"/>
  <c r="J7" i="3"/>
  <c r="I7" i="3"/>
  <c r="H7" i="3"/>
  <c r="G7" i="3"/>
  <c r="F7" i="3"/>
  <c r="Q6" i="3"/>
  <c r="P6" i="3"/>
  <c r="O6" i="3"/>
  <c r="K6" i="3"/>
  <c r="J6" i="3"/>
  <c r="I6" i="3"/>
  <c r="H6" i="3"/>
  <c r="G6" i="3"/>
  <c r="F6" i="3"/>
  <c r="Q5" i="3"/>
  <c r="P5" i="3"/>
  <c r="O5" i="3"/>
  <c r="K5" i="3"/>
  <c r="J5" i="3"/>
  <c r="I5" i="3"/>
  <c r="H5" i="3"/>
  <c r="G5" i="3"/>
  <c r="F5" i="3"/>
  <c r="Q4" i="3"/>
  <c r="P4" i="3"/>
  <c r="O4" i="3"/>
  <c r="K4" i="3"/>
  <c r="J4" i="3"/>
  <c r="I4" i="3"/>
  <c r="H4" i="3"/>
  <c r="G4" i="3"/>
  <c r="F4" i="3"/>
  <c r="Q3" i="3"/>
  <c r="P3" i="3"/>
  <c r="O3" i="3"/>
  <c r="K3" i="3"/>
  <c r="J3" i="3"/>
  <c r="I3" i="3"/>
  <c r="H3" i="3"/>
  <c r="G3" i="3"/>
  <c r="F3" i="3"/>
  <c r="Q2" i="3"/>
  <c r="P2" i="3"/>
  <c r="O2" i="3"/>
  <c r="K2" i="3"/>
  <c r="J2" i="3"/>
  <c r="I2" i="3"/>
  <c r="H2" i="3"/>
  <c r="G2" i="3"/>
  <c r="F2" i="3"/>
  <c r="K31" i="2"/>
  <c r="J31" i="2"/>
  <c r="I31" i="2"/>
  <c r="H31" i="2"/>
  <c r="G31" i="2"/>
  <c r="F31" i="2"/>
  <c r="K30" i="2"/>
  <c r="J30" i="2"/>
  <c r="I30" i="2"/>
  <c r="H30" i="2"/>
  <c r="G30" i="2"/>
  <c r="F30" i="2"/>
  <c r="K29" i="2"/>
  <c r="J29" i="2"/>
  <c r="I29" i="2"/>
  <c r="H29" i="2"/>
  <c r="G29" i="2"/>
  <c r="F29" i="2"/>
  <c r="K28" i="2"/>
  <c r="J28" i="2"/>
  <c r="I28" i="2"/>
  <c r="H28" i="2"/>
  <c r="G28" i="2"/>
  <c r="F28" i="2"/>
  <c r="K27" i="2"/>
  <c r="J27" i="2"/>
  <c r="I27" i="2"/>
  <c r="H27" i="2"/>
  <c r="G27" i="2"/>
  <c r="F27" i="2"/>
  <c r="K26" i="2"/>
  <c r="J26" i="2"/>
  <c r="I26" i="2"/>
  <c r="H26" i="2"/>
  <c r="G26" i="2"/>
  <c r="F26" i="2"/>
  <c r="Q25" i="2"/>
  <c r="K25" i="2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Q22" i="2"/>
  <c r="K22" i="2"/>
  <c r="J22" i="2"/>
  <c r="I22" i="2"/>
  <c r="H22" i="2"/>
  <c r="G22" i="2"/>
  <c r="F22" i="2"/>
  <c r="K21" i="2"/>
  <c r="J21" i="2"/>
  <c r="I21" i="2"/>
  <c r="H21" i="2"/>
  <c r="G21" i="2"/>
  <c r="F21" i="2"/>
  <c r="K20" i="2"/>
  <c r="J20" i="2"/>
  <c r="I20" i="2"/>
  <c r="H20" i="2"/>
  <c r="G20" i="2"/>
  <c r="F20" i="2"/>
  <c r="K19" i="2"/>
  <c r="J19" i="2"/>
  <c r="I19" i="2"/>
  <c r="H19" i="2"/>
  <c r="G19" i="2"/>
  <c r="F19" i="2"/>
  <c r="K18" i="2"/>
  <c r="J18" i="2"/>
  <c r="I18" i="2"/>
  <c r="H18" i="2"/>
  <c r="G18" i="2"/>
  <c r="F18" i="2"/>
  <c r="K17" i="2"/>
  <c r="J17" i="2"/>
  <c r="I17" i="2"/>
  <c r="H17" i="2"/>
  <c r="G17" i="2"/>
  <c r="F17" i="2"/>
  <c r="K16" i="2"/>
  <c r="J16" i="2"/>
  <c r="I16" i="2"/>
  <c r="H16" i="2"/>
  <c r="G16" i="2"/>
  <c r="F16" i="2"/>
  <c r="K15" i="2"/>
  <c r="J15" i="2"/>
  <c r="I15" i="2"/>
  <c r="H15" i="2"/>
  <c r="G15" i="2"/>
  <c r="F15" i="2"/>
  <c r="K14" i="2"/>
  <c r="J14" i="2"/>
  <c r="I14" i="2"/>
  <c r="H14" i="2"/>
  <c r="G14" i="2"/>
  <c r="F14" i="2"/>
  <c r="K13" i="2"/>
  <c r="J13" i="2"/>
  <c r="I13" i="2"/>
  <c r="H13" i="2"/>
  <c r="G13" i="2"/>
  <c r="F13" i="2"/>
  <c r="K12" i="2"/>
  <c r="J12" i="2"/>
  <c r="I12" i="2"/>
  <c r="H12" i="2"/>
  <c r="G12" i="2"/>
  <c r="F12" i="2"/>
  <c r="K11" i="2"/>
  <c r="J11" i="2"/>
  <c r="I11" i="2"/>
  <c r="H11" i="2"/>
  <c r="G11" i="2"/>
  <c r="F11" i="2"/>
  <c r="Q10" i="2"/>
  <c r="K10" i="2"/>
  <c r="J10" i="2"/>
  <c r="I10" i="2"/>
  <c r="H10" i="2"/>
  <c r="G10" i="2"/>
  <c r="F10" i="2"/>
  <c r="K9" i="2"/>
  <c r="J9" i="2"/>
  <c r="I9" i="2"/>
  <c r="H9" i="2"/>
  <c r="G9" i="2"/>
  <c r="F9" i="2"/>
  <c r="K8" i="2"/>
  <c r="J8" i="2"/>
  <c r="I8" i="2"/>
  <c r="H8" i="2"/>
  <c r="G8" i="2"/>
  <c r="F8" i="2"/>
  <c r="K7" i="2"/>
  <c r="J7" i="2"/>
  <c r="I7" i="2"/>
  <c r="H7" i="2"/>
  <c r="G7" i="2"/>
  <c r="F7" i="2"/>
  <c r="Q6" i="2"/>
  <c r="K6" i="2"/>
  <c r="J6" i="2"/>
  <c r="I6" i="2"/>
  <c r="H6" i="2"/>
  <c r="G6" i="2"/>
  <c r="F6" i="2"/>
  <c r="K5" i="2"/>
  <c r="J5" i="2"/>
  <c r="I5" i="2"/>
  <c r="H5" i="2"/>
  <c r="G5" i="2"/>
  <c r="F5" i="2"/>
  <c r="K4" i="2"/>
  <c r="J4" i="2"/>
  <c r="I4" i="2"/>
  <c r="H4" i="2"/>
  <c r="G4" i="2"/>
  <c r="F4" i="2"/>
  <c r="K3" i="2"/>
  <c r="J3" i="2"/>
  <c r="I3" i="2"/>
  <c r="H3" i="2"/>
  <c r="G3" i="2"/>
  <c r="F3" i="2"/>
  <c r="P2" i="2"/>
  <c r="O2" i="2"/>
  <c r="K2" i="2"/>
  <c r="J2" i="2"/>
  <c r="I2" i="2"/>
  <c r="H2" i="2"/>
  <c r="G2" i="2"/>
  <c r="F2" i="2"/>
  <c r="Q30" i="2" l="1"/>
  <c r="Q28" i="2"/>
  <c r="Q23" i="2"/>
  <c r="Q18" i="2"/>
  <c r="Q15" i="2"/>
  <c r="Q14" i="2"/>
  <c r="Q11" i="2"/>
  <c r="Q9" i="2"/>
  <c r="Q8" i="2"/>
  <c r="Q7" i="2"/>
  <c r="Q3" i="2"/>
  <c r="Q27" i="2"/>
  <c r="Q16" i="2"/>
  <c r="Q13" i="2"/>
  <c r="Q12" i="2"/>
  <c r="Q2" i="2"/>
  <c r="Q32" i="2"/>
</calcChain>
</file>

<file path=xl/sharedStrings.xml><?xml version="1.0" encoding="utf-8"?>
<sst xmlns="http://schemas.openxmlformats.org/spreadsheetml/2006/main" count="129" uniqueCount="64">
  <si>
    <t>R</t>
  </si>
  <si>
    <t>G</t>
  </si>
  <si>
    <t>B</t>
  </si>
  <si>
    <t>X in CIE1931</t>
  </si>
  <si>
    <t>Y in CIE1931</t>
  </si>
  <si>
    <t>U in CIE1976</t>
  </si>
  <si>
    <t>V in CIE1976</t>
  </si>
  <si>
    <t>FloatSig_u</t>
  </si>
  <si>
    <t>FloatSig_v</t>
  </si>
  <si>
    <t>IntSig_u</t>
  </si>
  <si>
    <t>IntSig_v</t>
  </si>
  <si>
    <r>
      <rPr>
        <sz val="11"/>
        <color theme="1"/>
        <rFont val="微软雅黑"/>
        <charset val="134"/>
      </rPr>
      <t>Measurement</t>
    </r>
    <r>
      <rPr>
        <sz val="11"/>
        <color theme="1"/>
        <rFont val="微软雅黑"/>
        <charset val="134"/>
      </rPr>
      <t xml:space="preserve"> L</t>
    </r>
  </si>
  <si>
    <t>Measurement X</t>
  </si>
  <si>
    <t>Measurement Y</t>
  </si>
  <si>
    <t>MU</t>
  </si>
  <si>
    <t>MV</t>
  </si>
  <si>
    <t>DeltaUV</t>
  </si>
  <si>
    <t>帧头</t>
  </si>
  <si>
    <t>响应</t>
  </si>
  <si>
    <t>注释</t>
  </si>
  <si>
    <t>报文ID</t>
  </si>
  <si>
    <t>消息类型</t>
  </si>
  <si>
    <t>Data</t>
  </si>
  <si>
    <t>0X15</t>
  </si>
  <si>
    <t>TX(无条件帧+单帧)</t>
  </si>
  <si>
    <t>0XFF</t>
  </si>
  <si>
    <t>0XAF</t>
  </si>
  <si>
    <t>0X40</t>
  </si>
  <si>
    <t>0X64</t>
  </si>
  <si>
    <t>0X10</t>
  </si>
  <si>
    <t>0XFA</t>
  </si>
  <si>
    <t>100%白色</t>
  </si>
  <si>
    <t>0X3C</t>
  </si>
  <si>
    <t>TX(无条件帧+连续帧)</t>
  </si>
  <si>
    <t>NAD/0X7F</t>
  </si>
  <si>
    <t>0X06</t>
  </si>
  <si>
    <t>0XB0</t>
  </si>
  <si>
    <t>0X7F</t>
  </si>
  <si>
    <t>0XA0</t>
  </si>
  <si>
    <t>变节点地址</t>
  </si>
  <si>
    <t>0X03</t>
  </si>
  <si>
    <t>0X22</t>
  </si>
  <si>
    <t>0X69</t>
  </si>
  <si>
    <t>读取软件版本号</t>
  </si>
  <si>
    <t>0X3D</t>
  </si>
  <si>
    <t>RX(无条件帧+连续帧)</t>
  </si>
  <si>
    <t>0X08</t>
  </si>
  <si>
    <t>0X62</t>
  </si>
  <si>
    <t>SW0</t>
  </si>
  <si>
    <t>SW1</t>
  </si>
  <si>
    <t>SW0-SW4是软件版本号，注意这些字节是字符型的ASCII码，需转换一下</t>
  </si>
  <si>
    <t>0X21</t>
  </si>
  <si>
    <t>SW2</t>
  </si>
  <si>
    <t>SW3</t>
  </si>
  <si>
    <t>SW4</t>
  </si>
  <si>
    <t>0X00</t>
  </si>
  <si>
    <t>0X68</t>
  </si>
  <si>
    <t>读取硬件版本号</t>
  </si>
  <si>
    <t>HW0</t>
  </si>
  <si>
    <t>HW1</t>
  </si>
  <si>
    <t>HW2</t>
  </si>
  <si>
    <t>HW0-HW2是软件版本号，注意这些字节是字符型的ASCII码，需转换一下</t>
  </si>
  <si>
    <r>
      <rPr>
        <b/>
        <sz val="12"/>
        <rFont val="Times New Roman"/>
        <family val="1"/>
      </rPr>
      <t>7F   06   B0   FF   7F   FF   FF   A0
7F   06   B0   FF   7F   FF   FF   A0
A0</t>
    </r>
    <r>
      <rPr>
        <sz val="12"/>
        <rFont val="Times New Roman"/>
        <family val="1"/>
      </rPr>
      <t xml:space="preserve">   06  2E   68   69   HW0   HW1  HW2</t>
    </r>
  </si>
  <si>
    <r>
      <rPr>
        <b/>
        <sz val="12"/>
        <rFont val="微软雅黑"/>
        <charset val="134"/>
      </rPr>
      <t xml:space="preserve">
HW0,HW1,HW2</t>
    </r>
    <r>
      <rPr>
        <sz val="12"/>
        <rFont val="微软雅黑"/>
        <charset val="134"/>
      </rPr>
      <t>:硬件版本号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</si>
</sst>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_ "/>
    <numFmt numFmtId="179" formatCode="0.00_ "/>
    <numFmt numFmtId="180" formatCode="0.0000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8B8B"/>
        <bgColor indexed="64"/>
      </patternFill>
    </fill>
    <fill>
      <patternFill patternType="solid">
        <fgColor rgb="FF00E9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7">
    <xf numFmtId="0" fontId="0" fillId="0" borderId="0" xfId="0"/>
    <xf numFmtId="0" fontId="6" fillId="0" borderId="0" xfId="1">
      <alignment vertical="center"/>
    </xf>
    <xf numFmtId="178" fontId="1" fillId="2" borderId="1" xfId="1" applyNumberFormat="1" applyFont="1" applyFill="1" applyBorder="1" applyAlignment="1">
      <alignment horizontal="center" vertical="center"/>
    </xf>
    <xf numFmtId="178" fontId="1" fillId="3" borderId="1" xfId="1" applyNumberFormat="1" applyFont="1" applyFill="1" applyBorder="1" applyAlignment="1">
      <alignment horizontal="center" vertical="center"/>
    </xf>
    <xf numFmtId="178" fontId="1" fillId="4" borderId="1" xfId="1" applyNumberFormat="1" applyFont="1" applyFill="1" applyBorder="1" applyAlignment="1">
      <alignment horizontal="center" vertical="center"/>
    </xf>
    <xf numFmtId="179" fontId="1" fillId="0" borderId="1" xfId="1" applyNumberFormat="1" applyFont="1" applyBorder="1" applyAlignment="1">
      <alignment horizontal="center" vertical="center"/>
    </xf>
    <xf numFmtId="179" fontId="1" fillId="0" borderId="2" xfId="1" applyNumberFormat="1" applyFont="1" applyBorder="1" applyAlignment="1">
      <alignment horizontal="center" vertical="center"/>
    </xf>
    <xf numFmtId="179" fontId="1" fillId="0" borderId="3" xfId="1" applyNumberFormat="1" applyFont="1" applyBorder="1" applyAlignment="1">
      <alignment horizontal="center" vertical="center"/>
    </xf>
    <xf numFmtId="0" fontId="6" fillId="0" borderId="0" xfId="1" applyAlignment="1">
      <alignment vertical="center"/>
    </xf>
    <xf numFmtId="179" fontId="1" fillId="0" borderId="4" xfId="1" applyNumberFormat="1" applyFont="1" applyBorder="1" applyAlignment="1">
      <alignment horizontal="center" vertical="center"/>
    </xf>
    <xf numFmtId="179" fontId="1" fillId="0" borderId="3" xfId="1" applyNumberFormat="1" applyFont="1" applyFill="1" applyBorder="1" applyAlignment="1">
      <alignment horizontal="center" vertical="center"/>
    </xf>
    <xf numFmtId="179" fontId="1" fillId="0" borderId="1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180" fontId="0" fillId="0" borderId="5" xfId="1" applyNumberFormat="1" applyFont="1" applyBorder="1" applyAlignment="1">
      <alignment horizontal="center" vertical="center"/>
    </xf>
    <xf numFmtId="180" fontId="0" fillId="0" borderId="6" xfId="1" applyNumberFormat="1" applyFont="1" applyBorder="1" applyAlignment="1">
      <alignment horizontal="center" vertical="center"/>
    </xf>
    <xf numFmtId="180" fontId="0" fillId="0" borderId="7" xfId="1" applyNumberFormat="1" applyFont="1" applyBorder="1" applyAlignment="1">
      <alignment horizontal="center" vertical="center"/>
    </xf>
    <xf numFmtId="179" fontId="0" fillId="0" borderId="8" xfId="1" applyNumberFormat="1" applyFont="1" applyBorder="1" applyAlignment="1">
      <alignment horizontal="center" vertical="center"/>
    </xf>
    <xf numFmtId="178" fontId="2" fillId="5" borderId="5" xfId="1" applyNumberFormat="1" applyFont="1" applyFill="1" applyBorder="1" applyAlignment="1">
      <alignment horizontal="center" vertical="center"/>
    </xf>
    <xf numFmtId="180" fontId="1" fillId="0" borderId="9" xfId="1" applyNumberFormat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80" fontId="1" fillId="0" borderId="7" xfId="1" applyNumberFormat="1" applyFont="1" applyBorder="1" applyAlignment="1">
      <alignment horizontal="center" vertical="center"/>
    </xf>
    <xf numFmtId="180" fontId="0" fillId="5" borderId="5" xfId="1" applyNumberFormat="1" applyFont="1" applyFill="1" applyBorder="1" applyAlignment="1">
      <alignment horizontal="center" vertical="center"/>
    </xf>
    <xf numFmtId="180" fontId="0" fillId="5" borderId="10" xfId="1" applyNumberFormat="1" applyFont="1" applyFill="1" applyBorder="1" applyAlignment="1">
      <alignment horizontal="center" vertical="center"/>
    </xf>
    <xf numFmtId="180" fontId="0" fillId="5" borderId="11" xfId="1" applyNumberFormat="1" applyFont="1" applyFill="1" applyBorder="1" applyAlignment="1">
      <alignment horizontal="center" vertical="center"/>
    </xf>
    <xf numFmtId="180" fontId="1" fillId="0" borderId="12" xfId="1" applyNumberFormat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180" fontId="1" fillId="0" borderId="14" xfId="1" applyNumberFormat="1" applyFont="1" applyBorder="1" applyAlignment="1">
      <alignment horizontal="center" vertical="center"/>
    </xf>
    <xf numFmtId="0" fontId="6" fillId="0" borderId="5" xfId="1" applyBorder="1" applyAlignment="1">
      <alignment horizontal="center" vertical="center"/>
    </xf>
    <xf numFmtId="0" fontId="6" fillId="0" borderId="5" xfId="1" applyBorder="1" applyAlignment="1">
      <alignment vertical="center"/>
    </xf>
    <xf numFmtId="0" fontId="6" fillId="0" borderId="0" xfId="1" applyBorder="1" applyAlignment="1">
      <alignment vertical="center"/>
    </xf>
    <xf numFmtId="0" fontId="5" fillId="0" borderId="5" xfId="0" applyFont="1" applyFill="1" applyBorder="1" applyAlignment="1">
      <alignment vertical="center" wrapText="1"/>
    </xf>
    <xf numFmtId="0" fontId="6" fillId="0" borderId="5" xfId="1" applyBorder="1" applyAlignment="1">
      <alignment horizontal="center" vertical="center" wrapText="1"/>
    </xf>
    <xf numFmtId="0" fontId="6" fillId="0" borderId="5" xfId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</cellXfs>
  <cellStyles count="2">
    <cellStyle name="常规" xfId="0" builtinId="0"/>
    <cellStyle name="常规 2" xfId="1"/>
  </cellStyles>
  <dxfs count="6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59"/>
  <sheetViews>
    <sheetView tabSelected="1" workbookViewId="0">
      <selection activeCell="S16" sqref="S16"/>
    </sheetView>
  </sheetViews>
  <sheetFormatPr defaultColWidth="9" defaultRowHeight="13.5" x14ac:dyDescent="0.15"/>
  <cols>
    <col min="1" max="3" width="9" style="1"/>
    <col min="4" max="4" width="0" style="1" hidden="1" customWidth="1"/>
    <col min="5" max="5" width="10.625" style="1" hidden="1" customWidth="1"/>
    <col min="6" max="9" width="0" style="1" hidden="1" customWidth="1"/>
    <col min="10" max="11" width="9" style="1"/>
    <col min="12" max="12" width="10.5" style="1" customWidth="1"/>
    <col min="13" max="13" width="10.25" style="1" customWidth="1"/>
    <col min="14" max="14" width="13.25" style="1" customWidth="1"/>
    <col min="15" max="16" width="14.5" style="1" hidden="1" customWidth="1"/>
    <col min="17" max="17" width="9" style="1"/>
    <col min="18" max="18" width="18.25" style="1" customWidth="1"/>
    <col min="19" max="19" width="23.125" style="1" customWidth="1"/>
    <col min="20" max="16383" width="9" style="1"/>
  </cols>
  <sheetData>
    <row r="1" spans="1:19" ht="16.5" x14ac:dyDescent="0.1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12" t="s">
        <v>16</v>
      </c>
    </row>
    <row r="2" spans="1:19" ht="17.25" thickBot="1" x14ac:dyDescent="0.2">
      <c r="A2" s="2">
        <v>255</v>
      </c>
      <c r="B2" s="3">
        <v>255</v>
      </c>
      <c r="C2" s="4">
        <v>255</v>
      </c>
      <c r="D2" s="13">
        <v>0.31690140845070403</v>
      </c>
      <c r="E2" s="13">
        <v>0.33098591549295803</v>
      </c>
      <c r="F2" s="14">
        <f>4*D2/(-2*D2+12*E2+3)</f>
        <v>0.2</v>
      </c>
      <c r="G2" s="15">
        <f>9*E2/(-2*D2+12*E2+3)</f>
        <v>0.47</v>
      </c>
      <c r="H2" s="16">
        <f>F2/0.005</f>
        <v>40</v>
      </c>
      <c r="I2" s="16">
        <f>G2/0.005</f>
        <v>94</v>
      </c>
      <c r="J2" s="17">
        <f>ROUND(H2,0)</f>
        <v>40</v>
      </c>
      <c r="K2" s="17">
        <f>ROUND(I2,0)</f>
        <v>94</v>
      </c>
      <c r="L2" s="18">
        <v>2.7229999999999999</v>
      </c>
      <c r="M2" s="19">
        <v>0.31719999999999998</v>
      </c>
      <c r="N2" s="20">
        <v>0.33119999999999999</v>
      </c>
      <c r="O2" s="20">
        <f>4*M2/(-2*M2+12*N2+3)</f>
        <v>0.20012618296529969</v>
      </c>
      <c r="P2" s="20">
        <f>9*N2/(-2*M2+12*N2+3)</f>
        <v>0.47015772870662459</v>
      </c>
      <c r="Q2" s="21">
        <f t="shared" ref="Q2:Q31" si="0">SQRT((F2-O2)*(F2-O2)+(G2-P2)*(G2-P2))</f>
        <v>2.0199130086539211E-4</v>
      </c>
      <c r="R2" s="1">
        <v>90.1</v>
      </c>
    </row>
    <row r="3" spans="1:19" ht="17.25" thickBot="1" x14ac:dyDescent="0.2">
      <c r="A3" s="2">
        <v>253</v>
      </c>
      <c r="B3" s="3">
        <v>255</v>
      </c>
      <c r="C3" s="4">
        <v>238</v>
      </c>
      <c r="D3" s="13">
        <v>0.31967213114754101</v>
      </c>
      <c r="E3" s="13">
        <v>0.34972677595628399</v>
      </c>
      <c r="F3" s="14">
        <f t="shared" ref="F3:F31" si="1">4*D3/(-2*D3+12*E3+3)</f>
        <v>0.19500000000000001</v>
      </c>
      <c r="G3" s="15">
        <f>9*E3/(-2*D3+12*E3+3)</f>
        <v>0.48</v>
      </c>
      <c r="H3" s="16">
        <f t="shared" ref="H3:I31" si="2">F3/0.005</f>
        <v>39</v>
      </c>
      <c r="I3" s="16">
        <f t="shared" si="2"/>
        <v>96</v>
      </c>
      <c r="J3" s="17">
        <f t="shared" ref="J3:K31" si="3">ROUND(H3,0)</f>
        <v>39</v>
      </c>
      <c r="K3" s="17">
        <f t="shared" si="3"/>
        <v>96</v>
      </c>
      <c r="L3" s="18">
        <v>2.7040000000000002</v>
      </c>
      <c r="M3" s="19">
        <v>0.31990000000000002</v>
      </c>
      <c r="N3" s="20">
        <v>0.34899999999999998</v>
      </c>
      <c r="O3" s="20">
        <f t="shared" ref="O3:O32" si="4">4*M3/(-2*M3+12*N3+3)</f>
        <v>0.19541247976543175</v>
      </c>
      <c r="P3" s="20">
        <f t="shared" ref="P3:P32" si="5">9*N3/(-2*M3+12*N3+3)</f>
        <v>0.47967380348798144</v>
      </c>
      <c r="Q3" s="21">
        <f t="shared" si="0"/>
        <v>5.2587424479972754E-4</v>
      </c>
      <c r="R3" s="1">
        <v>87.2</v>
      </c>
    </row>
    <row r="4" spans="1:19" ht="17.25" thickBot="1" x14ac:dyDescent="0.2">
      <c r="A4" s="2">
        <v>252</v>
      </c>
      <c r="B4" s="3">
        <v>255</v>
      </c>
      <c r="C4" s="4">
        <v>0</v>
      </c>
      <c r="D4" s="13">
        <v>0.40160183066361599</v>
      </c>
      <c r="E4" s="13">
        <v>0.50343249427917602</v>
      </c>
      <c r="F4" s="14">
        <f t="shared" si="1"/>
        <v>0.19500000000000001</v>
      </c>
      <c r="G4" s="15">
        <f>9*E4/(-2*D4+12*E4+3)</f>
        <v>0.55000000000000004</v>
      </c>
      <c r="H4" s="16">
        <f t="shared" si="2"/>
        <v>39</v>
      </c>
      <c r="I4" s="16">
        <f t="shared" si="2"/>
        <v>110</v>
      </c>
      <c r="J4" s="17">
        <f t="shared" si="3"/>
        <v>39</v>
      </c>
      <c r="K4" s="17">
        <f t="shared" si="3"/>
        <v>110</v>
      </c>
      <c r="L4" s="18">
        <v>2.4670000000000001</v>
      </c>
      <c r="M4" s="19">
        <v>0.4042</v>
      </c>
      <c r="N4" s="20">
        <v>0.50070000000000003</v>
      </c>
      <c r="O4" s="20">
        <f t="shared" si="4"/>
        <v>0.19717073170731708</v>
      </c>
      <c r="P4" s="20">
        <f t="shared" si="5"/>
        <v>0.54954878048780498</v>
      </c>
      <c r="Q4" s="21">
        <f t="shared" si="0"/>
        <v>2.2171322002391418E-3</v>
      </c>
      <c r="R4" s="1">
        <v>45</v>
      </c>
    </row>
    <row r="5" spans="1:19" ht="17.25" thickBot="1" x14ac:dyDescent="0.2">
      <c r="A5" s="2">
        <v>255</v>
      </c>
      <c r="B5" s="3">
        <v>249</v>
      </c>
      <c r="C5" s="4">
        <v>0</v>
      </c>
      <c r="D5" s="13">
        <v>0.41647855530473998</v>
      </c>
      <c r="E5" s="13">
        <v>0.49661399548532698</v>
      </c>
      <c r="F5" s="14">
        <f t="shared" si="1"/>
        <v>0.20499999999999999</v>
      </c>
      <c r="G5" s="15">
        <f>9*E5/(-2*D5+12*E5+3)</f>
        <v>0.55000000000000004</v>
      </c>
      <c r="H5" s="16">
        <f t="shared" si="2"/>
        <v>41</v>
      </c>
      <c r="I5" s="16">
        <f t="shared" si="2"/>
        <v>110</v>
      </c>
      <c r="J5" s="17">
        <f t="shared" si="3"/>
        <v>41</v>
      </c>
      <c r="K5" s="17">
        <f t="shared" si="3"/>
        <v>110</v>
      </c>
      <c r="L5" s="18">
        <v>2.4329999999999998</v>
      </c>
      <c r="M5" s="19">
        <v>0.41880000000000001</v>
      </c>
      <c r="N5" s="20">
        <v>0.49399999999999999</v>
      </c>
      <c r="O5" s="20">
        <f t="shared" si="4"/>
        <v>0.20706021951943046</v>
      </c>
      <c r="P5" s="20">
        <f t="shared" si="5"/>
        <v>0.54954019578760016</v>
      </c>
      <c r="Q5" s="21">
        <f t="shared" si="0"/>
        <v>2.1109060571193133E-3</v>
      </c>
      <c r="R5" s="1">
        <v>38.700000000000003</v>
      </c>
    </row>
    <row r="6" spans="1:19" ht="17.25" thickBot="1" x14ac:dyDescent="0.2">
      <c r="A6" s="2">
        <v>255</v>
      </c>
      <c r="B6" s="3">
        <v>233</v>
      </c>
      <c r="C6" s="4">
        <v>0</v>
      </c>
      <c r="D6" s="13">
        <v>0.430957683741648</v>
      </c>
      <c r="E6" s="13">
        <v>0.48997772828507802</v>
      </c>
      <c r="F6" s="14">
        <f t="shared" si="1"/>
        <v>0.215</v>
      </c>
      <c r="G6" s="15">
        <f t="shared" ref="G6:G31" si="6">9*E6/(-2*D6+12*E6+3)</f>
        <v>0.55000000000000004</v>
      </c>
      <c r="H6" s="16">
        <f t="shared" si="2"/>
        <v>43</v>
      </c>
      <c r="I6" s="16">
        <f t="shared" si="2"/>
        <v>110</v>
      </c>
      <c r="J6" s="17">
        <f t="shared" si="3"/>
        <v>43</v>
      </c>
      <c r="K6" s="17">
        <f t="shared" si="3"/>
        <v>110</v>
      </c>
      <c r="L6" s="18">
        <v>2.41</v>
      </c>
      <c r="M6" s="19">
        <v>0.43340000000000001</v>
      </c>
      <c r="N6" s="20">
        <v>0.4874</v>
      </c>
      <c r="O6" s="20">
        <f t="shared" si="4"/>
        <v>0.21718867451766477</v>
      </c>
      <c r="P6" s="20">
        <f t="shared" si="5"/>
        <v>0.54956151340516157</v>
      </c>
      <c r="Q6" s="21">
        <f t="shared" si="0"/>
        <v>2.2321663553884529E-3</v>
      </c>
      <c r="R6" s="1">
        <v>32.5</v>
      </c>
    </row>
    <row r="7" spans="1:19" ht="17.25" thickBot="1" x14ac:dyDescent="0.2">
      <c r="A7" s="2">
        <v>255</v>
      </c>
      <c r="B7" s="3">
        <v>209</v>
      </c>
      <c r="C7" s="4">
        <v>0</v>
      </c>
      <c r="D7" s="22">
        <v>0.45762711864406802</v>
      </c>
      <c r="E7" s="22">
        <v>0.46186440677966101</v>
      </c>
      <c r="F7" s="14">
        <f t="shared" si="1"/>
        <v>0.24</v>
      </c>
      <c r="G7" s="15">
        <f t="shared" si="6"/>
        <v>0.54500000000000004</v>
      </c>
      <c r="H7" s="16">
        <f t="shared" si="2"/>
        <v>48</v>
      </c>
      <c r="I7" s="16">
        <f t="shared" si="2"/>
        <v>109</v>
      </c>
      <c r="J7" s="17">
        <f t="shared" si="3"/>
        <v>48</v>
      </c>
      <c r="K7" s="17">
        <f t="shared" si="3"/>
        <v>109</v>
      </c>
      <c r="L7" s="18">
        <v>2.363</v>
      </c>
      <c r="M7" s="19">
        <v>0.45960000000000001</v>
      </c>
      <c r="N7" s="20">
        <v>0.45960000000000001</v>
      </c>
      <c r="O7" s="20">
        <f t="shared" si="4"/>
        <v>0.24202211690363348</v>
      </c>
      <c r="P7" s="20">
        <f t="shared" si="5"/>
        <v>0.54454976303317537</v>
      </c>
      <c r="Q7" s="21">
        <f t="shared" si="0"/>
        <v>2.0716346440083923E-3</v>
      </c>
      <c r="R7" s="1">
        <v>23</v>
      </c>
    </row>
    <row r="8" spans="1:19" ht="17.25" thickBot="1" x14ac:dyDescent="0.2">
      <c r="A8" s="2">
        <v>255</v>
      </c>
      <c r="B8" s="3">
        <v>184</v>
      </c>
      <c r="C8" s="4">
        <v>0</v>
      </c>
      <c r="D8" s="22">
        <v>0.495918367346939</v>
      </c>
      <c r="E8" s="22">
        <v>0.44489795918367397</v>
      </c>
      <c r="F8" s="14">
        <f t="shared" si="1"/>
        <v>0.27</v>
      </c>
      <c r="G8" s="15">
        <f t="shared" si="6"/>
        <v>0.54500000000000004</v>
      </c>
      <c r="H8" s="16">
        <f t="shared" si="2"/>
        <v>54</v>
      </c>
      <c r="I8" s="16">
        <f t="shared" si="2"/>
        <v>109</v>
      </c>
      <c r="J8" s="17">
        <f t="shared" si="3"/>
        <v>54</v>
      </c>
      <c r="K8" s="17">
        <f t="shared" si="3"/>
        <v>109</v>
      </c>
      <c r="L8" s="18">
        <v>2.29</v>
      </c>
      <c r="M8" s="19">
        <v>0.4985</v>
      </c>
      <c r="N8" s="20">
        <v>0.44309999999999999</v>
      </c>
      <c r="O8" s="20">
        <f t="shared" si="4"/>
        <v>0.27239692904565449</v>
      </c>
      <c r="P8" s="20">
        <f t="shared" si="5"/>
        <v>0.54478019726236981</v>
      </c>
      <c r="Q8" s="21">
        <f t="shared" si="0"/>
        <v>2.4069861016158363E-3</v>
      </c>
      <c r="R8" s="1">
        <v>11.5</v>
      </c>
    </row>
    <row r="9" spans="1:19" ht="17.25" thickBot="1" x14ac:dyDescent="0.2">
      <c r="A9" s="2">
        <v>255</v>
      </c>
      <c r="B9" s="3">
        <v>161</v>
      </c>
      <c r="C9" s="4">
        <v>0</v>
      </c>
      <c r="D9" s="22">
        <v>0.52890173410404595</v>
      </c>
      <c r="E9" s="22">
        <v>0.41618497109826602</v>
      </c>
      <c r="F9" s="14">
        <f t="shared" si="1"/>
        <v>0.30499999999999999</v>
      </c>
      <c r="G9" s="15">
        <f t="shared" si="6"/>
        <v>0.54</v>
      </c>
      <c r="H9" s="16">
        <f t="shared" si="2"/>
        <v>61</v>
      </c>
      <c r="I9" s="16">
        <f t="shared" si="2"/>
        <v>108</v>
      </c>
      <c r="J9" s="17">
        <f t="shared" si="3"/>
        <v>61</v>
      </c>
      <c r="K9" s="17">
        <f t="shared" si="3"/>
        <v>108</v>
      </c>
      <c r="L9" s="18">
        <v>2.2200000000000002</v>
      </c>
      <c r="M9" s="19">
        <v>0.53059999999999996</v>
      </c>
      <c r="N9" s="20">
        <v>0.41460000000000002</v>
      </c>
      <c r="O9" s="20">
        <f t="shared" si="4"/>
        <v>0.30697136245299389</v>
      </c>
      <c r="P9" s="20">
        <f t="shared" si="5"/>
        <v>0.53968759039629743</v>
      </c>
      <c r="Q9" s="21">
        <f t="shared" si="0"/>
        <v>1.9959633467475624E-3</v>
      </c>
      <c r="R9" s="1">
        <v>7.2</v>
      </c>
    </row>
    <row r="10" spans="1:19" ht="17.25" thickBot="1" x14ac:dyDescent="0.2">
      <c r="A10" s="2">
        <v>255</v>
      </c>
      <c r="B10" s="3">
        <v>142</v>
      </c>
      <c r="C10" s="4">
        <v>0</v>
      </c>
      <c r="D10" s="22">
        <v>0.55321100917431199</v>
      </c>
      <c r="E10" s="22">
        <v>0.39266055045871601</v>
      </c>
      <c r="F10" s="14">
        <f t="shared" si="1"/>
        <v>0.33500000000000002</v>
      </c>
      <c r="G10" s="15">
        <f t="shared" si="6"/>
        <v>0.53500000000000003</v>
      </c>
      <c r="H10" s="16">
        <f t="shared" si="2"/>
        <v>67</v>
      </c>
      <c r="I10" s="16">
        <f t="shared" si="2"/>
        <v>107</v>
      </c>
      <c r="J10" s="17">
        <f t="shared" si="3"/>
        <v>67</v>
      </c>
      <c r="K10" s="17">
        <f t="shared" si="3"/>
        <v>107</v>
      </c>
      <c r="L10" s="18">
        <v>2.153</v>
      </c>
      <c r="M10" s="19">
        <v>0.55420000000000003</v>
      </c>
      <c r="N10" s="20">
        <v>0.3911</v>
      </c>
      <c r="O10" s="20">
        <f t="shared" si="4"/>
        <v>0.33665411250151867</v>
      </c>
      <c r="P10" s="20">
        <f t="shared" si="5"/>
        <v>0.53454926497387922</v>
      </c>
      <c r="Q10" s="21">
        <f t="shared" si="0"/>
        <v>1.7144241690586362E-3</v>
      </c>
      <c r="R10" s="1">
        <v>8.1</v>
      </c>
    </row>
    <row r="11" spans="1:19" ht="17.25" thickBot="1" x14ac:dyDescent="0.2">
      <c r="A11" s="2">
        <v>255</v>
      </c>
      <c r="B11" s="3">
        <v>116</v>
      </c>
      <c r="C11" s="4">
        <v>15</v>
      </c>
      <c r="D11" s="22">
        <v>0.58965517241379295</v>
      </c>
      <c r="E11" s="22">
        <v>0.36551724137931002</v>
      </c>
      <c r="F11" s="14">
        <f t="shared" si="1"/>
        <v>0.38</v>
      </c>
      <c r="G11" s="15">
        <f t="shared" si="6"/>
        <v>0.53</v>
      </c>
      <c r="H11" s="16">
        <f t="shared" si="2"/>
        <v>76</v>
      </c>
      <c r="I11" s="16">
        <f t="shared" si="2"/>
        <v>106</v>
      </c>
      <c r="J11" s="17">
        <f t="shared" si="3"/>
        <v>76</v>
      </c>
      <c r="K11" s="17">
        <f t="shared" si="3"/>
        <v>106</v>
      </c>
      <c r="L11" s="18">
        <v>1.9379999999999999</v>
      </c>
      <c r="M11" s="19">
        <v>0.58189999999999997</v>
      </c>
      <c r="N11" s="20">
        <v>0.37019999999999997</v>
      </c>
      <c r="O11" s="20">
        <f t="shared" si="4"/>
        <v>0.37071958716911418</v>
      </c>
      <c r="P11" s="20">
        <f t="shared" si="5"/>
        <v>0.53065970120727557</v>
      </c>
      <c r="Q11" s="21">
        <f t="shared" si="0"/>
        <v>9.3038308236205042E-3</v>
      </c>
      <c r="R11" s="1">
        <v>12.9</v>
      </c>
    </row>
    <row r="12" spans="1:19" ht="17.25" thickBot="1" x14ac:dyDescent="0.2">
      <c r="A12" s="2">
        <v>255</v>
      </c>
      <c r="B12" s="3">
        <v>0</v>
      </c>
      <c r="C12" s="4">
        <v>0</v>
      </c>
      <c r="D12" s="22">
        <v>0.68463810930576097</v>
      </c>
      <c r="E12" s="22">
        <v>0.30723781388478599</v>
      </c>
      <c r="F12" s="14">
        <f t="shared" si="1"/>
        <v>0.51500000000000001</v>
      </c>
      <c r="G12" s="15">
        <f t="shared" si="6"/>
        <v>0.52</v>
      </c>
      <c r="H12" s="16">
        <f>F12/0.005</f>
        <v>103</v>
      </c>
      <c r="I12" s="16">
        <f t="shared" si="2"/>
        <v>104</v>
      </c>
      <c r="J12" s="17">
        <f t="shared" si="3"/>
        <v>103</v>
      </c>
      <c r="K12" s="17">
        <f t="shared" si="3"/>
        <v>104</v>
      </c>
      <c r="L12" s="18">
        <v>1.29</v>
      </c>
      <c r="M12" s="19">
        <v>0.67720000000000002</v>
      </c>
      <c r="N12" s="20">
        <v>0.31219999999999998</v>
      </c>
      <c r="O12" s="20">
        <f t="shared" si="4"/>
        <v>0.50237388724035614</v>
      </c>
      <c r="P12" s="20">
        <f t="shared" si="5"/>
        <v>0.52110534124629082</v>
      </c>
      <c r="Q12" s="21">
        <f t="shared" si="0"/>
        <v>1.2674403445132772E-2</v>
      </c>
      <c r="R12" s="1">
        <v>55.7</v>
      </c>
    </row>
    <row r="13" spans="1:19" ht="17.25" thickBot="1" x14ac:dyDescent="0.2">
      <c r="A13" s="2">
        <v>255</v>
      </c>
      <c r="B13" s="3">
        <v>5</v>
      </c>
      <c r="C13" s="4">
        <v>55</v>
      </c>
      <c r="D13" s="22">
        <v>0.65395683453237397</v>
      </c>
      <c r="E13" s="22">
        <v>0.290647482014389</v>
      </c>
      <c r="F13" s="14">
        <f t="shared" si="1"/>
        <v>0.505</v>
      </c>
      <c r="G13" s="15">
        <f t="shared" si="6"/>
        <v>0.505</v>
      </c>
      <c r="H13" s="16">
        <f t="shared" si="2"/>
        <v>101</v>
      </c>
      <c r="I13" s="16">
        <f t="shared" si="2"/>
        <v>101</v>
      </c>
      <c r="J13" s="17">
        <f>ROUND(H13,0)</f>
        <v>101</v>
      </c>
      <c r="K13" s="17">
        <f>ROUND(I13,0)</f>
        <v>101</v>
      </c>
      <c r="L13" s="18">
        <v>1.347</v>
      </c>
      <c r="M13" s="19">
        <v>0.6401</v>
      </c>
      <c r="N13" s="20">
        <v>0.29049999999999998</v>
      </c>
      <c r="O13" s="20">
        <f t="shared" si="4"/>
        <v>0.49183602904452728</v>
      </c>
      <c r="P13" s="20">
        <f t="shared" si="5"/>
        <v>0.50222828383725837</v>
      </c>
      <c r="Q13" s="21">
        <f t="shared" si="0"/>
        <v>1.3452603532526062E-2</v>
      </c>
      <c r="R13" s="1">
        <v>60.4</v>
      </c>
      <c r="S13" s="1">
        <v>0.50549059338941504</v>
      </c>
    </row>
    <row r="14" spans="1:19" ht="17.25" thickBot="1" x14ac:dyDescent="0.2">
      <c r="A14" s="2">
        <v>255</v>
      </c>
      <c r="B14" s="3">
        <v>19</v>
      </c>
      <c r="C14" s="4">
        <v>82</v>
      </c>
      <c r="D14" s="22">
        <v>0.62820512820512797</v>
      </c>
      <c r="E14" s="22">
        <v>0.28205128205128199</v>
      </c>
      <c r="F14" s="14">
        <f t="shared" si="1"/>
        <v>0.49</v>
      </c>
      <c r="G14" s="15">
        <f t="shared" si="6"/>
        <v>0.495</v>
      </c>
      <c r="H14" s="16">
        <f t="shared" si="2"/>
        <v>98</v>
      </c>
      <c r="I14" s="16">
        <f t="shared" si="2"/>
        <v>99</v>
      </c>
      <c r="J14" s="17">
        <f t="shared" si="3"/>
        <v>98</v>
      </c>
      <c r="K14" s="17">
        <f t="shared" si="3"/>
        <v>99</v>
      </c>
      <c r="L14" s="18">
        <v>1.393</v>
      </c>
      <c r="M14" s="19">
        <v>0.61250000000000004</v>
      </c>
      <c r="N14" s="20">
        <v>0.27989999999999998</v>
      </c>
      <c r="O14" s="20">
        <f t="shared" si="4"/>
        <v>0.47722934278701951</v>
      </c>
      <c r="P14" s="20">
        <f t="shared" si="5"/>
        <v>0.49068915812848191</v>
      </c>
      <c r="Q14" s="21">
        <f t="shared" si="0"/>
        <v>1.3478614294232329E-2</v>
      </c>
      <c r="R14" s="1">
        <v>52.8</v>
      </c>
    </row>
    <row r="15" spans="1:19" ht="17.25" thickBot="1" x14ac:dyDescent="0.2">
      <c r="A15" s="2">
        <v>255</v>
      </c>
      <c r="B15" s="3">
        <v>34</v>
      </c>
      <c r="C15" s="4">
        <v>149</v>
      </c>
      <c r="D15" s="22">
        <v>0.52105263157894699</v>
      </c>
      <c r="E15" s="22">
        <v>0.231578947368421</v>
      </c>
      <c r="F15" s="14">
        <f t="shared" si="1"/>
        <v>0.44</v>
      </c>
      <c r="G15" s="15">
        <f t="shared" si="6"/>
        <v>0.44</v>
      </c>
      <c r="H15" s="16">
        <f t="shared" si="2"/>
        <v>88</v>
      </c>
      <c r="I15" s="16">
        <f t="shared" si="2"/>
        <v>88</v>
      </c>
      <c r="J15" s="17">
        <f t="shared" si="3"/>
        <v>88</v>
      </c>
      <c r="K15" s="17">
        <f t="shared" si="3"/>
        <v>88</v>
      </c>
      <c r="L15" s="18">
        <v>1.4670000000000001</v>
      </c>
      <c r="M15" s="19">
        <v>0.50770000000000004</v>
      </c>
      <c r="N15" s="20">
        <v>0.2271</v>
      </c>
      <c r="O15" s="20">
        <f t="shared" si="4"/>
        <v>0.43118603762367835</v>
      </c>
      <c r="P15" s="20">
        <f t="shared" si="5"/>
        <v>0.43396747207949382</v>
      </c>
      <c r="Q15" s="21">
        <f t="shared" si="0"/>
        <v>1.0680698754430826E-2</v>
      </c>
      <c r="R15" s="1">
        <v>21.3</v>
      </c>
    </row>
    <row r="16" spans="1:19" ht="17.25" thickBot="1" x14ac:dyDescent="0.2">
      <c r="A16" s="2">
        <v>116</v>
      </c>
      <c r="B16" s="3">
        <v>32</v>
      </c>
      <c r="C16" s="4">
        <v>255</v>
      </c>
      <c r="D16" s="22">
        <v>0.208215297450425</v>
      </c>
      <c r="E16" s="22">
        <v>6.79886685552408E-2</v>
      </c>
      <c r="F16" s="14">
        <f t="shared" si="1"/>
        <v>0.245</v>
      </c>
      <c r="G16" s="15">
        <f t="shared" si="6"/>
        <v>0.18</v>
      </c>
      <c r="H16" s="16">
        <f t="shared" si="2"/>
        <v>49</v>
      </c>
      <c r="I16" s="16">
        <f t="shared" si="2"/>
        <v>36</v>
      </c>
      <c r="J16" s="17">
        <f t="shared" si="3"/>
        <v>49</v>
      </c>
      <c r="K16" s="17">
        <f t="shared" si="3"/>
        <v>36</v>
      </c>
      <c r="L16" s="18">
        <v>0.97460000000000002</v>
      </c>
      <c r="M16" s="19">
        <v>0.22550000000000001</v>
      </c>
      <c r="N16" s="20">
        <v>7.7499999999999999E-2</v>
      </c>
      <c r="O16" s="20">
        <f t="shared" si="4"/>
        <v>0.25926990514515663</v>
      </c>
      <c r="P16" s="20">
        <f t="shared" si="5"/>
        <v>0.20048864616269044</v>
      </c>
      <c r="Q16" s="21">
        <f t="shared" si="0"/>
        <v>2.4968276160594223E-2</v>
      </c>
      <c r="R16" s="1">
        <v>-145</v>
      </c>
    </row>
    <row r="17" spans="1:18" ht="17.25" thickBot="1" x14ac:dyDescent="0.2">
      <c r="A17" s="2">
        <v>0</v>
      </c>
      <c r="B17" s="3">
        <v>0</v>
      </c>
      <c r="C17" s="4">
        <v>255</v>
      </c>
      <c r="D17" s="22">
        <v>0.14860287891617299</v>
      </c>
      <c r="E17" s="22">
        <v>2.8789161727349698E-2</v>
      </c>
      <c r="F17" s="14">
        <f t="shared" si="1"/>
        <v>0.19500000000000001</v>
      </c>
      <c r="G17" s="15">
        <f t="shared" si="6"/>
        <v>8.5000000000000006E-2</v>
      </c>
      <c r="H17" s="16">
        <f t="shared" si="2"/>
        <v>39</v>
      </c>
      <c r="I17" s="16">
        <f t="shared" si="2"/>
        <v>17</v>
      </c>
      <c r="J17" s="17">
        <f t="shared" si="3"/>
        <v>39</v>
      </c>
      <c r="K17" s="17">
        <f>ROUND(I17,0)</f>
        <v>17</v>
      </c>
      <c r="L17" s="18">
        <v>0.91510000000000002</v>
      </c>
      <c r="M17" s="19">
        <v>0.15529999999999999</v>
      </c>
      <c r="N17" s="20">
        <v>3.3599999999999998E-2</v>
      </c>
      <c r="O17" s="20">
        <f t="shared" si="4"/>
        <v>0.20086658475069519</v>
      </c>
      <c r="P17" s="20">
        <f t="shared" si="5"/>
        <v>9.7781801720235401E-2</v>
      </c>
      <c r="Q17" s="21">
        <f t="shared" si="0"/>
        <v>1.4063828492003936E-2</v>
      </c>
    </row>
    <row r="18" spans="1:18" ht="17.25" thickBot="1" x14ac:dyDescent="0.2">
      <c r="A18" s="2">
        <v>14</v>
      </c>
      <c r="B18" s="3">
        <v>105</v>
      </c>
      <c r="C18" s="4">
        <v>255</v>
      </c>
      <c r="D18" s="22">
        <v>0.157894736842105</v>
      </c>
      <c r="E18" s="22">
        <v>0.105263157894737</v>
      </c>
      <c r="F18" s="14">
        <f t="shared" si="1"/>
        <v>0.16</v>
      </c>
      <c r="G18" s="15">
        <f t="shared" si="6"/>
        <v>0.24</v>
      </c>
      <c r="H18" s="16">
        <f t="shared" si="2"/>
        <v>32</v>
      </c>
      <c r="I18" s="16">
        <f t="shared" si="2"/>
        <v>48</v>
      </c>
      <c r="J18" s="17">
        <f t="shared" si="3"/>
        <v>32</v>
      </c>
      <c r="K18" s="17">
        <f t="shared" si="3"/>
        <v>48</v>
      </c>
      <c r="L18" s="18">
        <v>1.383</v>
      </c>
      <c r="M18" s="19">
        <v>0.1588</v>
      </c>
      <c r="N18" s="20">
        <v>0.1128</v>
      </c>
      <c r="O18" s="20">
        <f t="shared" si="4"/>
        <v>0.15738354806739346</v>
      </c>
      <c r="P18" s="20">
        <f t="shared" si="5"/>
        <v>0.25153617443012882</v>
      </c>
      <c r="Q18" s="21">
        <f t="shared" si="0"/>
        <v>1.182916485632011E-2</v>
      </c>
      <c r="R18" s="1">
        <v>22.9</v>
      </c>
    </row>
    <row r="19" spans="1:18" ht="17.25" thickBot="1" x14ac:dyDescent="0.2">
      <c r="A19" s="2">
        <v>0</v>
      </c>
      <c r="B19" s="3">
        <v>129</v>
      </c>
      <c r="C19" s="4">
        <v>255</v>
      </c>
      <c r="D19" s="22">
        <v>0.15856622114216301</v>
      </c>
      <c r="E19" s="22">
        <v>0.14094775212636701</v>
      </c>
      <c r="F19" s="14">
        <f t="shared" si="1"/>
        <v>0.14499999999999999</v>
      </c>
      <c r="G19" s="15">
        <f t="shared" si="6"/>
        <v>0.28999999999999998</v>
      </c>
      <c r="H19" s="16">
        <f t="shared" si="2"/>
        <v>29</v>
      </c>
      <c r="I19" s="16">
        <f t="shared" si="2"/>
        <v>58</v>
      </c>
      <c r="J19" s="17">
        <f t="shared" si="3"/>
        <v>29</v>
      </c>
      <c r="K19" s="17">
        <f t="shared" si="3"/>
        <v>58</v>
      </c>
      <c r="L19" s="18">
        <v>1.62</v>
      </c>
      <c r="M19" s="19">
        <v>0.15840000000000001</v>
      </c>
      <c r="N19" s="20">
        <v>0.1401</v>
      </c>
      <c r="O19" s="20">
        <f t="shared" si="4"/>
        <v>0.14517459444597197</v>
      </c>
      <c r="P19" s="20">
        <f t="shared" si="5"/>
        <v>0.28890569150398682</v>
      </c>
      <c r="Q19" s="21">
        <f t="shared" si="0"/>
        <v>1.1081490445832881E-3</v>
      </c>
      <c r="R19" s="1">
        <v>28.1</v>
      </c>
    </row>
    <row r="20" spans="1:18" ht="17.25" thickBot="1" x14ac:dyDescent="0.2">
      <c r="A20" s="2">
        <v>0</v>
      </c>
      <c r="B20" s="3">
        <v>145</v>
      </c>
      <c r="C20" s="4">
        <v>255</v>
      </c>
      <c r="D20" s="22">
        <v>0.15799739921976599</v>
      </c>
      <c r="E20" s="22">
        <v>0.16644993498049401</v>
      </c>
      <c r="F20" s="14">
        <f t="shared" si="1"/>
        <v>0.13500000000000001</v>
      </c>
      <c r="G20" s="15">
        <f t="shared" si="6"/>
        <v>0.32</v>
      </c>
      <c r="H20" s="16">
        <f t="shared" si="2"/>
        <v>27</v>
      </c>
      <c r="I20" s="16">
        <f t="shared" si="2"/>
        <v>64</v>
      </c>
      <c r="J20" s="17">
        <f t="shared" si="3"/>
        <v>27</v>
      </c>
      <c r="K20" s="17">
        <f t="shared" si="3"/>
        <v>64</v>
      </c>
      <c r="L20" s="18">
        <v>1.73</v>
      </c>
      <c r="M20" s="19">
        <v>0.15759999999999999</v>
      </c>
      <c r="N20" s="20">
        <v>0.16520000000000001</v>
      </c>
      <c r="O20" s="20">
        <f t="shared" si="4"/>
        <v>0.13507027768255056</v>
      </c>
      <c r="P20" s="20">
        <f t="shared" si="5"/>
        <v>0.3185635927322592</v>
      </c>
      <c r="Q20" s="21">
        <f t="shared" si="0"/>
        <v>1.4381254435838597E-3</v>
      </c>
      <c r="R20" s="1">
        <v>29.7</v>
      </c>
    </row>
    <row r="21" spans="1:18" ht="17.25" thickBot="1" x14ac:dyDescent="0.2">
      <c r="A21" s="2">
        <v>0</v>
      </c>
      <c r="B21" s="3">
        <v>170</v>
      </c>
      <c r="C21" s="4">
        <v>255</v>
      </c>
      <c r="D21" s="22">
        <v>0.160944206008584</v>
      </c>
      <c r="E21" s="22">
        <v>0.20600858369098701</v>
      </c>
      <c r="F21" s="14">
        <f t="shared" si="1"/>
        <v>0.125</v>
      </c>
      <c r="G21" s="15">
        <f t="shared" si="6"/>
        <v>0.36</v>
      </c>
      <c r="H21" s="16">
        <f t="shared" si="2"/>
        <v>25</v>
      </c>
      <c r="I21" s="16">
        <f t="shared" si="2"/>
        <v>72</v>
      </c>
      <c r="J21" s="17">
        <f t="shared" si="3"/>
        <v>25</v>
      </c>
      <c r="K21" s="17">
        <f t="shared" si="3"/>
        <v>72</v>
      </c>
      <c r="L21" s="18">
        <v>1.887</v>
      </c>
      <c r="M21" s="19">
        <v>0.16039999999999999</v>
      </c>
      <c r="N21" s="20">
        <v>0.20449999999999999</v>
      </c>
      <c r="O21" s="20">
        <f t="shared" si="4"/>
        <v>0.12499025948725941</v>
      </c>
      <c r="P21" s="20">
        <f t="shared" si="5"/>
        <v>0.35854827398114236</v>
      </c>
      <c r="Q21" s="21">
        <f t="shared" si="0"/>
        <v>1.4517586960017346E-3</v>
      </c>
      <c r="R21" s="1">
        <v>34.700000000000003</v>
      </c>
    </row>
    <row r="22" spans="1:18" ht="17.25" thickBot="1" x14ac:dyDescent="0.2">
      <c r="A22" s="2">
        <v>0</v>
      </c>
      <c r="B22" s="3">
        <v>193</v>
      </c>
      <c r="C22" s="4">
        <v>255</v>
      </c>
      <c r="D22" s="22">
        <v>0.16666666666666699</v>
      </c>
      <c r="E22" s="22">
        <v>0.240740740740741</v>
      </c>
      <c r="F22" s="14">
        <f t="shared" si="1"/>
        <v>0.12</v>
      </c>
      <c r="G22" s="15">
        <f t="shared" si="6"/>
        <v>0.39</v>
      </c>
      <c r="H22" s="16">
        <f t="shared" si="2"/>
        <v>24</v>
      </c>
      <c r="I22" s="16">
        <f t="shared" si="2"/>
        <v>78</v>
      </c>
      <c r="J22" s="17">
        <f t="shared" si="3"/>
        <v>24</v>
      </c>
      <c r="K22" s="17">
        <f t="shared" si="3"/>
        <v>78</v>
      </c>
      <c r="L22" s="18">
        <v>2.0259999999999998</v>
      </c>
      <c r="M22" s="19">
        <v>0.16600000000000001</v>
      </c>
      <c r="N22" s="20">
        <v>0.2392</v>
      </c>
      <c r="O22" s="20">
        <f t="shared" si="4"/>
        <v>0.11989022100245558</v>
      </c>
      <c r="P22" s="20">
        <f t="shared" si="5"/>
        <v>0.38870431893687707</v>
      </c>
      <c r="Q22" s="21">
        <f t="shared" si="0"/>
        <v>1.3003233619516567E-3</v>
      </c>
      <c r="R22" s="1">
        <v>40.1</v>
      </c>
    </row>
    <row r="23" spans="1:18" ht="17.25" thickBot="1" x14ac:dyDescent="0.2">
      <c r="A23" s="2">
        <v>0</v>
      </c>
      <c r="B23" s="3">
        <v>219</v>
      </c>
      <c r="C23" s="4">
        <v>255</v>
      </c>
      <c r="D23" s="22">
        <v>0.16666666666666699</v>
      </c>
      <c r="E23" s="22">
        <v>0.28282828282828298</v>
      </c>
      <c r="F23" s="14">
        <f t="shared" si="1"/>
        <v>0.11</v>
      </c>
      <c r="G23" s="15">
        <f t="shared" si="6"/>
        <v>0.42</v>
      </c>
      <c r="H23" s="16">
        <f t="shared" si="2"/>
        <v>22</v>
      </c>
      <c r="I23" s="16">
        <f t="shared" si="2"/>
        <v>84</v>
      </c>
      <c r="J23" s="17">
        <f t="shared" si="3"/>
        <v>22</v>
      </c>
      <c r="K23" s="17">
        <f t="shared" si="3"/>
        <v>84</v>
      </c>
      <c r="L23" s="18">
        <v>2.1379999999999999</v>
      </c>
      <c r="M23" s="19">
        <v>0.1658</v>
      </c>
      <c r="N23" s="20">
        <v>0.28120000000000001</v>
      </c>
      <c r="O23" s="20">
        <f t="shared" si="4"/>
        <v>0.10975044681273582</v>
      </c>
      <c r="P23" s="20">
        <f t="shared" si="5"/>
        <v>0.41881247103991531</v>
      </c>
      <c r="Q23" s="21">
        <f t="shared" si="0"/>
        <v>1.2134668616462052E-3</v>
      </c>
      <c r="R23" s="1">
        <v>38.5</v>
      </c>
    </row>
    <row r="24" spans="1:18" ht="17.25" thickBot="1" x14ac:dyDescent="0.2">
      <c r="A24" s="2">
        <v>0</v>
      </c>
      <c r="B24" s="3">
        <v>255</v>
      </c>
      <c r="C24" s="4">
        <v>253</v>
      </c>
      <c r="D24" s="22">
        <v>0.17663551401869201</v>
      </c>
      <c r="E24" s="22">
        <v>0.34018691588784999</v>
      </c>
      <c r="F24" s="14">
        <f t="shared" si="1"/>
        <v>0.105</v>
      </c>
      <c r="G24" s="15">
        <f t="shared" si="6"/>
        <v>0.45500000000000002</v>
      </c>
      <c r="H24" s="16">
        <f t="shared" si="2"/>
        <v>21</v>
      </c>
      <c r="I24" s="16">
        <f t="shared" si="2"/>
        <v>91</v>
      </c>
      <c r="J24" s="17">
        <f t="shared" si="3"/>
        <v>21</v>
      </c>
      <c r="K24" s="17">
        <f t="shared" si="3"/>
        <v>91</v>
      </c>
      <c r="L24" s="18">
        <v>2.29</v>
      </c>
      <c r="M24" s="19">
        <v>0.1757</v>
      </c>
      <c r="N24" s="20">
        <v>0.33860000000000001</v>
      </c>
      <c r="O24" s="20">
        <f t="shared" si="4"/>
        <v>0.10471110581364164</v>
      </c>
      <c r="P24" s="20">
        <f t="shared" si="5"/>
        <v>0.45403617509460947</v>
      </c>
      <c r="Q24" s="21">
        <f t="shared" si="0"/>
        <v>1.0061899915834709E-3</v>
      </c>
      <c r="R24" s="1">
        <v>38.299999999999997</v>
      </c>
    </row>
    <row r="25" spans="1:18" ht="17.25" thickBot="1" x14ac:dyDescent="0.2">
      <c r="A25" s="2">
        <v>0</v>
      </c>
      <c r="B25" s="3">
        <v>255</v>
      </c>
      <c r="C25" s="4">
        <v>225</v>
      </c>
      <c r="D25" s="22">
        <v>0.18</v>
      </c>
      <c r="E25" s="22">
        <v>0.38</v>
      </c>
      <c r="F25" s="14">
        <f t="shared" si="1"/>
        <v>0.1</v>
      </c>
      <c r="G25" s="15">
        <f t="shared" si="6"/>
        <v>0.47499999999999998</v>
      </c>
      <c r="H25" s="16">
        <f t="shared" si="2"/>
        <v>20</v>
      </c>
      <c r="I25" s="16">
        <f t="shared" si="2"/>
        <v>95</v>
      </c>
      <c r="J25" s="17">
        <f t="shared" si="3"/>
        <v>20</v>
      </c>
      <c r="K25" s="17">
        <f t="shared" si="3"/>
        <v>95</v>
      </c>
      <c r="L25" s="18">
        <v>2.3740000000000001</v>
      </c>
      <c r="M25" s="19">
        <v>0.17879999999999999</v>
      </c>
      <c r="N25" s="20">
        <v>0.37809999999999999</v>
      </c>
      <c r="O25" s="20">
        <f t="shared" si="4"/>
        <v>9.9615577469496897E-2</v>
      </c>
      <c r="P25" s="20">
        <f t="shared" si="5"/>
        <v>0.47396790907571446</v>
      </c>
      <c r="Q25" s="21">
        <f t="shared" si="0"/>
        <v>1.1013593228147468E-3</v>
      </c>
      <c r="R25" s="1">
        <v>35.700000000000003</v>
      </c>
    </row>
    <row r="26" spans="1:18" ht="17.25" thickBot="1" x14ac:dyDescent="0.2">
      <c r="A26" s="2">
        <v>0</v>
      </c>
      <c r="B26" s="3">
        <v>255</v>
      </c>
      <c r="C26" s="4">
        <v>201</v>
      </c>
      <c r="D26" s="23">
        <v>0.18076109936575099</v>
      </c>
      <c r="E26" s="23">
        <v>0.41437632135306601</v>
      </c>
      <c r="F26" s="14">
        <f t="shared" si="1"/>
        <v>9.5000000000000001E-2</v>
      </c>
      <c r="G26" s="15">
        <f t="shared" si="6"/>
        <v>0.49</v>
      </c>
      <c r="H26" s="16">
        <f t="shared" si="2"/>
        <v>19</v>
      </c>
      <c r="I26" s="16">
        <f t="shared" si="2"/>
        <v>98</v>
      </c>
      <c r="J26" s="17">
        <f t="shared" si="3"/>
        <v>19</v>
      </c>
      <c r="K26" s="17">
        <f t="shared" si="3"/>
        <v>98</v>
      </c>
      <c r="L26" s="18">
        <v>2.4289999999999998</v>
      </c>
      <c r="M26" s="19">
        <v>0.1794</v>
      </c>
      <c r="N26" s="20">
        <v>0.41260000000000002</v>
      </c>
      <c r="O26" s="20">
        <f t="shared" si="4"/>
        <v>9.4515568199778729E-2</v>
      </c>
      <c r="P26" s="20">
        <f t="shared" si="5"/>
        <v>0.48909435751541019</v>
      </c>
      <c r="Q26" s="21">
        <f t="shared" si="0"/>
        <v>1.0270649828319543E-3</v>
      </c>
      <c r="R26" s="1">
        <v>32.799999999999997</v>
      </c>
    </row>
    <row r="27" spans="1:18" ht="17.25" thickBot="1" x14ac:dyDescent="0.2">
      <c r="A27" s="2">
        <v>0</v>
      </c>
      <c r="B27" s="3">
        <v>255</v>
      </c>
      <c r="C27" s="4">
        <v>144</v>
      </c>
      <c r="D27" s="22">
        <v>0.186131386861314</v>
      </c>
      <c r="E27" s="22">
        <v>0.51094890510948898</v>
      </c>
      <c r="F27" s="14">
        <f t="shared" si="1"/>
        <v>8.5000000000000006E-2</v>
      </c>
      <c r="G27" s="15">
        <f t="shared" si="6"/>
        <v>0.52500000000000002</v>
      </c>
      <c r="H27" s="16">
        <f t="shared" si="2"/>
        <v>17</v>
      </c>
      <c r="I27" s="16">
        <f t="shared" si="2"/>
        <v>105</v>
      </c>
      <c r="J27" s="17">
        <f t="shared" si="3"/>
        <v>17</v>
      </c>
      <c r="K27" s="17">
        <f t="shared" si="3"/>
        <v>105</v>
      </c>
      <c r="L27" s="18">
        <v>2.5659999999999998</v>
      </c>
      <c r="M27" s="19">
        <v>0.18429999999999999</v>
      </c>
      <c r="N27" s="20">
        <v>0.50929999999999997</v>
      </c>
      <c r="O27" s="20">
        <f t="shared" si="4"/>
        <v>8.4318883678371273E-2</v>
      </c>
      <c r="P27" s="20">
        <f t="shared" si="5"/>
        <v>0.52427084524762668</v>
      </c>
      <c r="Q27" s="21">
        <f t="shared" si="0"/>
        <v>9.9779060754132294E-4</v>
      </c>
      <c r="R27" s="1">
        <v>26.9</v>
      </c>
    </row>
    <row r="28" spans="1:18" ht="17.25" thickBot="1" x14ac:dyDescent="0.2">
      <c r="A28" s="2">
        <v>0</v>
      </c>
      <c r="B28" s="3">
        <v>255</v>
      </c>
      <c r="C28" s="4">
        <v>0</v>
      </c>
      <c r="D28" s="22">
        <v>0.19340974212034401</v>
      </c>
      <c r="E28" s="22">
        <v>0.64183381088825298</v>
      </c>
      <c r="F28" s="14">
        <f t="shared" si="1"/>
        <v>7.4999999999999997E-2</v>
      </c>
      <c r="G28" s="15">
        <f t="shared" si="6"/>
        <v>0.56000000000000005</v>
      </c>
      <c r="H28" s="16">
        <f t="shared" si="2"/>
        <v>15</v>
      </c>
      <c r="I28" s="16">
        <f t="shared" si="2"/>
        <v>112</v>
      </c>
      <c r="J28" s="17">
        <f t="shared" si="3"/>
        <v>15</v>
      </c>
      <c r="K28" s="17">
        <f t="shared" si="3"/>
        <v>112</v>
      </c>
      <c r="L28" s="18">
        <v>2.7029999999999998</v>
      </c>
      <c r="M28" s="19">
        <v>0.19109999999999999</v>
      </c>
      <c r="N28" s="20">
        <v>0.64149999999999996</v>
      </c>
      <c r="O28" s="20">
        <f t="shared" si="4"/>
        <v>7.4099924387832264E-2</v>
      </c>
      <c r="P28" s="20">
        <f t="shared" si="5"/>
        <v>0.55967544931076596</v>
      </c>
      <c r="Q28" s="21">
        <f t="shared" si="0"/>
        <v>9.5680157687027504E-4</v>
      </c>
      <c r="R28" s="1">
        <v>13.5</v>
      </c>
    </row>
    <row r="29" spans="1:18" ht="17.25" thickBot="1" x14ac:dyDescent="0.2">
      <c r="A29" s="2">
        <v>93</v>
      </c>
      <c r="B29" s="3">
        <v>255</v>
      </c>
      <c r="C29" s="4">
        <v>0</v>
      </c>
      <c r="D29" s="22">
        <v>0.23684210526315799</v>
      </c>
      <c r="E29" s="22">
        <v>0.62049861495844905</v>
      </c>
      <c r="F29" s="14">
        <f t="shared" si="1"/>
        <v>9.5000000000000001E-2</v>
      </c>
      <c r="G29" s="15">
        <f t="shared" si="6"/>
        <v>0.56000000000000005</v>
      </c>
      <c r="H29" s="16">
        <f t="shared" si="2"/>
        <v>19</v>
      </c>
      <c r="I29" s="16">
        <f t="shared" si="2"/>
        <v>112</v>
      </c>
      <c r="J29" s="17">
        <f t="shared" si="3"/>
        <v>19</v>
      </c>
      <c r="K29" s="17">
        <f t="shared" si="3"/>
        <v>112</v>
      </c>
      <c r="L29" s="18">
        <v>2.6760000000000002</v>
      </c>
      <c r="M29" s="19">
        <v>0.23580000000000001</v>
      </c>
      <c r="N29" s="20">
        <v>0.61980000000000002</v>
      </c>
      <c r="O29" s="20">
        <f t="shared" si="4"/>
        <v>9.4641782059000618E-2</v>
      </c>
      <c r="P29" s="20">
        <f t="shared" si="5"/>
        <v>0.55972305839855507</v>
      </c>
      <c r="Q29" s="21">
        <f t="shared" si="0"/>
        <v>4.5278774703468722E-4</v>
      </c>
      <c r="R29" s="1">
        <v>30.4</v>
      </c>
    </row>
    <row r="30" spans="1:18" ht="17.25" thickBot="1" x14ac:dyDescent="0.2">
      <c r="A30" s="2">
        <v>170</v>
      </c>
      <c r="B30" s="3">
        <v>255</v>
      </c>
      <c r="C30" s="4">
        <v>0</v>
      </c>
      <c r="D30" s="22">
        <v>0.30916030534351102</v>
      </c>
      <c r="E30" s="22">
        <v>0.56488549618320605</v>
      </c>
      <c r="F30" s="14">
        <f t="shared" si="1"/>
        <v>0.13500000000000001</v>
      </c>
      <c r="G30" s="15">
        <f t="shared" si="6"/>
        <v>0.55500000000000005</v>
      </c>
      <c r="H30" s="16">
        <f t="shared" si="2"/>
        <v>27</v>
      </c>
      <c r="I30" s="16">
        <f t="shared" si="2"/>
        <v>111</v>
      </c>
      <c r="J30" s="17">
        <f t="shared" si="3"/>
        <v>27</v>
      </c>
      <c r="K30" s="17">
        <f t="shared" si="3"/>
        <v>111</v>
      </c>
      <c r="L30" s="18">
        <v>2.5950000000000002</v>
      </c>
      <c r="M30" s="19">
        <v>0.31040000000000001</v>
      </c>
      <c r="N30" s="20">
        <v>0.56310000000000004</v>
      </c>
      <c r="O30" s="20">
        <f t="shared" si="4"/>
        <v>0.13589597653342672</v>
      </c>
      <c r="P30" s="20">
        <f t="shared" si="5"/>
        <v>0.55469331465347393</v>
      </c>
      <c r="Q30" s="21">
        <f t="shared" si="0"/>
        <v>9.4701100850264205E-4</v>
      </c>
      <c r="R30" s="1">
        <v>61.1</v>
      </c>
    </row>
    <row r="31" spans="1:18" ht="17.25" thickBot="1" x14ac:dyDescent="0.2">
      <c r="A31" s="2">
        <v>216</v>
      </c>
      <c r="B31" s="3">
        <v>255</v>
      </c>
      <c r="C31" s="4">
        <v>0</v>
      </c>
      <c r="D31" s="24">
        <v>0.36956521739130399</v>
      </c>
      <c r="E31" s="24">
        <v>0.53623188405797095</v>
      </c>
      <c r="F31" s="14">
        <f t="shared" si="1"/>
        <v>0.17</v>
      </c>
      <c r="G31" s="15">
        <f t="shared" si="6"/>
        <v>0.55500000000000005</v>
      </c>
      <c r="H31" s="16">
        <f t="shared" si="2"/>
        <v>34</v>
      </c>
      <c r="I31" s="16">
        <f t="shared" si="2"/>
        <v>111</v>
      </c>
      <c r="J31" s="17">
        <f t="shared" si="3"/>
        <v>34</v>
      </c>
      <c r="K31" s="17">
        <f t="shared" si="3"/>
        <v>111</v>
      </c>
      <c r="L31" s="25">
        <v>2.5139999999999998</v>
      </c>
      <c r="M31" s="26">
        <v>0.37190000000000001</v>
      </c>
      <c r="N31" s="27">
        <v>0.53359999999999996</v>
      </c>
      <c r="O31" s="20">
        <f t="shared" si="4"/>
        <v>0.17179019331593415</v>
      </c>
      <c r="P31" s="20">
        <f t="shared" si="5"/>
        <v>0.55458807769591423</v>
      </c>
      <c r="Q31" s="28">
        <f t="shared" si="0"/>
        <v>1.836973623386745E-3</v>
      </c>
      <c r="R31" s="1">
        <v>54.9</v>
      </c>
    </row>
    <row r="32" spans="1:18" ht="17.25" thickBot="1" x14ac:dyDescent="0.2">
      <c r="A32" s="2">
        <v>216</v>
      </c>
      <c r="B32" s="3">
        <v>255</v>
      </c>
      <c r="C32" s="4">
        <v>0</v>
      </c>
      <c r="D32" s="24">
        <v>0.31519999999999998</v>
      </c>
      <c r="E32" s="24">
        <v>0.31469999999999998</v>
      </c>
      <c r="F32" s="14">
        <f t="shared" ref="F32" si="7">4*D32/(-2*D32+12*E32+3)</f>
        <v>0.20514155548324112</v>
      </c>
      <c r="G32" s="15">
        <f t="shared" ref="G32" si="8">9*E32/(-2*D32+12*E32+3)</f>
        <v>0.4608363163032867</v>
      </c>
      <c r="H32" s="16">
        <f t="shared" ref="H32" si="9">F32/0.005</f>
        <v>41.028311096648224</v>
      </c>
      <c r="I32" s="16">
        <f t="shared" ref="I32" si="10">G32/0.005</f>
        <v>92.167263260657336</v>
      </c>
      <c r="J32" s="17">
        <f t="shared" ref="J32" si="11">ROUND(H32,0)</f>
        <v>41</v>
      </c>
      <c r="K32" s="17">
        <f t="shared" ref="K32" si="12">ROUND(I32,0)</f>
        <v>92</v>
      </c>
      <c r="L32" s="25">
        <v>2.5179999999999998</v>
      </c>
      <c r="M32" s="26">
        <v>0.31440000000000001</v>
      </c>
      <c r="N32" s="27">
        <v>0.31519999999999998</v>
      </c>
      <c r="O32" s="20">
        <f t="shared" si="4"/>
        <v>0.20436817472698909</v>
      </c>
      <c r="P32" s="20">
        <f t="shared" si="5"/>
        <v>0.46099843993759748</v>
      </c>
      <c r="Q32" s="28">
        <f t="shared" ref="Q32" si="13">SQRT((F32-O32)*(F32-O32)+(G32-P32)*(G32-P32))</f>
        <v>7.9019103193031027E-4</v>
      </c>
    </row>
    <row r="43" spans="4:14" x14ac:dyDescent="0.15">
      <c r="D43" s="33" t="s">
        <v>17</v>
      </c>
      <c r="E43" s="34"/>
      <c r="F43" s="34" t="s">
        <v>18</v>
      </c>
      <c r="G43" s="34"/>
      <c r="H43" s="34"/>
      <c r="I43" s="34"/>
      <c r="J43" s="34"/>
      <c r="K43" s="34"/>
      <c r="L43" s="34"/>
      <c r="M43" s="34"/>
      <c r="N43" s="34" t="s">
        <v>19</v>
      </c>
    </row>
    <row r="44" spans="4:14" x14ac:dyDescent="0.15">
      <c r="D44" s="29" t="s">
        <v>20</v>
      </c>
      <c r="E44" s="29" t="s">
        <v>21</v>
      </c>
      <c r="F44" s="34" t="s">
        <v>22</v>
      </c>
      <c r="G44" s="34"/>
      <c r="H44" s="34"/>
      <c r="I44" s="34"/>
      <c r="J44" s="34"/>
      <c r="K44" s="34"/>
      <c r="L44" s="34"/>
      <c r="M44" s="34"/>
      <c r="N44" s="34"/>
    </row>
    <row r="45" spans="4:14" x14ac:dyDescent="0.15">
      <c r="D45" s="29" t="s">
        <v>23</v>
      </c>
      <c r="E45" s="29" t="s">
        <v>24</v>
      </c>
      <c r="F45" s="29" t="s">
        <v>25</v>
      </c>
      <c r="G45" s="29" t="s">
        <v>25</v>
      </c>
      <c r="H45" s="29" t="s">
        <v>26</v>
      </c>
      <c r="I45" s="29" t="s">
        <v>25</v>
      </c>
      <c r="J45" s="29" t="s">
        <v>27</v>
      </c>
      <c r="K45" s="29" t="s">
        <v>28</v>
      </c>
      <c r="L45" s="29" t="s">
        <v>29</v>
      </c>
      <c r="M45" s="29" t="s">
        <v>30</v>
      </c>
      <c r="N45" s="29" t="s">
        <v>31</v>
      </c>
    </row>
    <row r="46" spans="4:14" x14ac:dyDescent="0.15"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spans="4:14" x14ac:dyDescent="0.15">
      <c r="D47" s="29" t="s">
        <v>32</v>
      </c>
      <c r="E47" s="29" t="s">
        <v>33</v>
      </c>
      <c r="F47" s="29" t="s">
        <v>34</v>
      </c>
      <c r="G47" s="29" t="s">
        <v>35</v>
      </c>
      <c r="H47" s="29" t="s">
        <v>36</v>
      </c>
      <c r="I47" s="29" t="s">
        <v>25</v>
      </c>
      <c r="J47" s="29" t="s">
        <v>37</v>
      </c>
      <c r="K47" s="29" t="s">
        <v>25</v>
      </c>
      <c r="L47" s="29" t="s">
        <v>25</v>
      </c>
      <c r="M47" s="29" t="s">
        <v>38</v>
      </c>
      <c r="N47" s="29" t="s">
        <v>39</v>
      </c>
    </row>
    <row r="48" spans="4:14" x14ac:dyDescent="0.15">
      <c r="D48" s="29" t="s">
        <v>32</v>
      </c>
      <c r="E48" s="29" t="s">
        <v>33</v>
      </c>
      <c r="F48" s="29" t="s">
        <v>38</v>
      </c>
      <c r="G48" s="29" t="s">
        <v>40</v>
      </c>
      <c r="H48" s="29" t="s">
        <v>41</v>
      </c>
      <c r="I48" s="29" t="s">
        <v>28</v>
      </c>
      <c r="J48" s="29" t="s">
        <v>42</v>
      </c>
      <c r="K48" s="29" t="s">
        <v>25</v>
      </c>
      <c r="L48" s="29" t="s">
        <v>25</v>
      </c>
      <c r="M48" s="29" t="s">
        <v>25</v>
      </c>
      <c r="N48" s="29" t="s">
        <v>43</v>
      </c>
    </row>
    <row r="49" spans="4:14" x14ac:dyDescent="0.15">
      <c r="D49" s="29" t="s">
        <v>44</v>
      </c>
      <c r="E49" s="29" t="s">
        <v>45</v>
      </c>
      <c r="F49" s="29" t="s">
        <v>38</v>
      </c>
      <c r="G49" s="29" t="s">
        <v>29</v>
      </c>
      <c r="H49" s="29" t="s">
        <v>46</v>
      </c>
      <c r="I49" s="29" t="s">
        <v>47</v>
      </c>
      <c r="J49" s="29" t="s">
        <v>28</v>
      </c>
      <c r="K49" s="29" t="s">
        <v>42</v>
      </c>
      <c r="L49" s="29" t="s">
        <v>48</v>
      </c>
      <c r="M49" s="29" t="s">
        <v>49</v>
      </c>
      <c r="N49" s="34" t="s">
        <v>50</v>
      </c>
    </row>
    <row r="50" spans="4:14" x14ac:dyDescent="0.15">
      <c r="D50" s="29" t="s">
        <v>44</v>
      </c>
      <c r="E50" s="29" t="s">
        <v>45</v>
      </c>
      <c r="F50" s="29" t="s">
        <v>38</v>
      </c>
      <c r="G50" s="29" t="s">
        <v>51</v>
      </c>
      <c r="H50" s="29" t="s">
        <v>52</v>
      </c>
      <c r="I50" s="29" t="s">
        <v>53</v>
      </c>
      <c r="J50" s="29" t="s">
        <v>54</v>
      </c>
      <c r="K50" s="29" t="s">
        <v>55</v>
      </c>
      <c r="L50" s="29" t="s">
        <v>55</v>
      </c>
      <c r="M50" s="29" t="s">
        <v>55</v>
      </c>
      <c r="N50" s="34"/>
    </row>
    <row r="51" spans="4:14" x14ac:dyDescent="0.15"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4:14" x14ac:dyDescent="0.15"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 spans="4:14" x14ac:dyDescent="0.15">
      <c r="D53" s="29" t="s">
        <v>32</v>
      </c>
      <c r="E53" s="29" t="s">
        <v>33</v>
      </c>
      <c r="F53" s="29" t="s">
        <v>34</v>
      </c>
      <c r="G53" s="29" t="s">
        <v>35</v>
      </c>
      <c r="H53" s="29" t="s">
        <v>36</v>
      </c>
      <c r="I53" s="29" t="s">
        <v>25</v>
      </c>
      <c r="J53" s="29" t="s">
        <v>37</v>
      </c>
      <c r="K53" s="29" t="s">
        <v>25</v>
      </c>
      <c r="L53" s="29" t="s">
        <v>25</v>
      </c>
      <c r="M53" s="29" t="s">
        <v>38</v>
      </c>
      <c r="N53" s="29" t="s">
        <v>39</v>
      </c>
    </row>
    <row r="54" spans="4:14" x14ac:dyDescent="0.15">
      <c r="D54" s="29" t="s">
        <v>32</v>
      </c>
      <c r="E54" s="29" t="s">
        <v>33</v>
      </c>
      <c r="F54" s="29" t="s">
        <v>38</v>
      </c>
      <c r="G54" s="29" t="s">
        <v>40</v>
      </c>
      <c r="H54" s="29" t="s">
        <v>41</v>
      </c>
      <c r="I54" s="29" t="s">
        <v>56</v>
      </c>
      <c r="J54" s="29" t="s">
        <v>42</v>
      </c>
      <c r="K54" s="29" t="s">
        <v>25</v>
      </c>
      <c r="L54" s="29" t="s">
        <v>25</v>
      </c>
      <c r="M54" s="29" t="s">
        <v>25</v>
      </c>
      <c r="N54" s="29" t="s">
        <v>57</v>
      </c>
    </row>
    <row r="55" spans="4:14" x14ac:dyDescent="0.15">
      <c r="D55" s="29" t="s">
        <v>44</v>
      </c>
      <c r="E55" s="29" t="s">
        <v>33</v>
      </c>
      <c r="F55" s="29" t="s">
        <v>38</v>
      </c>
      <c r="G55" s="29" t="s">
        <v>35</v>
      </c>
      <c r="H55" s="29" t="s">
        <v>47</v>
      </c>
      <c r="I55" s="29" t="s">
        <v>56</v>
      </c>
      <c r="J55" s="29" t="s">
        <v>42</v>
      </c>
      <c r="K55" s="29" t="s">
        <v>58</v>
      </c>
      <c r="L55" s="29" t="s">
        <v>59</v>
      </c>
      <c r="M55" s="29" t="s">
        <v>60</v>
      </c>
      <c r="N55" s="30" t="s">
        <v>61</v>
      </c>
    </row>
    <row r="56" spans="4:14" x14ac:dyDescent="0.15">
      <c r="N56" s="31"/>
    </row>
    <row r="59" spans="4:14" ht="53.25" x14ac:dyDescent="0.15">
      <c r="E59" s="35" t="s">
        <v>62</v>
      </c>
      <c r="F59" s="36"/>
      <c r="G59" s="36"/>
      <c r="H59" s="36"/>
      <c r="I59" s="36"/>
      <c r="J59" s="36"/>
      <c r="K59" s="36"/>
      <c r="L59" s="32" t="s">
        <v>63</v>
      </c>
    </row>
  </sheetData>
  <mergeCells count="6">
    <mergeCell ref="D43:E43"/>
    <mergeCell ref="F43:M43"/>
    <mergeCell ref="F44:M44"/>
    <mergeCell ref="E59:K59"/>
    <mergeCell ref="N43:N44"/>
    <mergeCell ref="N49:N50"/>
  </mergeCells>
  <phoneticPr fontId="8" type="noConversion"/>
  <conditionalFormatting sqref="Q2">
    <cfRule type="cellIs" dxfId="59" priority="28" stopIfTrue="1" operator="between">
      <formula>0</formula>
      <formula>0.006</formula>
    </cfRule>
    <cfRule type="cellIs" dxfId="58" priority="29" stopIfTrue="1" operator="between">
      <formula>0.006</formula>
      <formula>0.01</formula>
    </cfRule>
    <cfRule type="cellIs" dxfId="57" priority="30" stopIfTrue="1" operator="greaterThan">
      <formula>0.01</formula>
    </cfRule>
  </conditionalFormatting>
  <conditionalFormatting sqref="Q7">
    <cfRule type="cellIs" dxfId="56" priority="22" stopIfTrue="1" operator="between">
      <formula>0</formula>
      <formula>0.006</formula>
    </cfRule>
    <cfRule type="cellIs" dxfId="55" priority="23" stopIfTrue="1" operator="between">
      <formula>0.006</formula>
      <formula>0.01</formula>
    </cfRule>
    <cfRule type="cellIs" dxfId="54" priority="24" stopIfTrue="1" operator="greaterThan">
      <formula>0.01</formula>
    </cfRule>
  </conditionalFormatting>
  <conditionalFormatting sqref="Q12">
    <cfRule type="cellIs" dxfId="53" priority="16" stopIfTrue="1" operator="between">
      <formula>0</formula>
      <formula>0.006</formula>
    </cfRule>
    <cfRule type="cellIs" dxfId="52" priority="17" stopIfTrue="1" operator="between">
      <formula>0.006</formula>
      <formula>0.01</formula>
    </cfRule>
    <cfRule type="cellIs" dxfId="51" priority="18" stopIfTrue="1" operator="greaterThan">
      <formula>0.01</formula>
    </cfRule>
  </conditionalFormatting>
  <conditionalFormatting sqref="Q17">
    <cfRule type="cellIs" dxfId="50" priority="10" stopIfTrue="1" operator="between">
      <formula>0</formula>
      <formula>0.006</formula>
    </cfRule>
    <cfRule type="cellIs" dxfId="49" priority="11" stopIfTrue="1" operator="between">
      <formula>0.006</formula>
      <formula>0.01</formula>
    </cfRule>
    <cfRule type="cellIs" dxfId="48" priority="12" stopIfTrue="1" operator="greaterThan">
      <formula>0.01</formula>
    </cfRule>
  </conditionalFormatting>
  <conditionalFormatting sqref="Q22">
    <cfRule type="cellIs" dxfId="47" priority="4" stopIfTrue="1" operator="between">
      <formula>0</formula>
      <formula>0.006</formula>
    </cfRule>
    <cfRule type="cellIs" dxfId="46" priority="5" stopIfTrue="1" operator="between">
      <formula>0.006</formula>
      <formula>0.01</formula>
    </cfRule>
    <cfRule type="cellIs" dxfId="45" priority="6" stopIfTrue="1" operator="greaterThan">
      <formula>0.01</formula>
    </cfRule>
  </conditionalFormatting>
  <conditionalFormatting sqref="Q8:Q11">
    <cfRule type="cellIs" dxfId="44" priority="19" stopIfTrue="1" operator="between">
      <formula>0</formula>
      <formula>0.006</formula>
    </cfRule>
    <cfRule type="cellIs" dxfId="43" priority="20" stopIfTrue="1" operator="between">
      <formula>0.006</formula>
      <formula>0.01</formula>
    </cfRule>
    <cfRule type="cellIs" dxfId="42" priority="21" stopIfTrue="1" operator="greaterThan">
      <formula>0.01</formula>
    </cfRule>
  </conditionalFormatting>
  <conditionalFormatting sqref="Q13:Q16">
    <cfRule type="cellIs" dxfId="41" priority="13" stopIfTrue="1" operator="between">
      <formula>0</formula>
      <formula>0.006</formula>
    </cfRule>
    <cfRule type="cellIs" dxfId="40" priority="14" stopIfTrue="1" operator="between">
      <formula>0.006</formula>
      <formula>0.01</formula>
    </cfRule>
    <cfRule type="cellIs" dxfId="39" priority="15" stopIfTrue="1" operator="greaterThan">
      <formula>0.01</formula>
    </cfRule>
  </conditionalFormatting>
  <conditionalFormatting sqref="Q18:Q21">
    <cfRule type="cellIs" dxfId="38" priority="7" stopIfTrue="1" operator="between">
      <formula>0</formula>
      <formula>0.006</formula>
    </cfRule>
    <cfRule type="cellIs" dxfId="37" priority="8" stopIfTrue="1" operator="between">
      <formula>0.006</formula>
      <formula>0.01</formula>
    </cfRule>
    <cfRule type="cellIs" dxfId="36" priority="9" stopIfTrue="1" operator="greaterThan">
      <formula>0.01</formula>
    </cfRule>
  </conditionalFormatting>
  <conditionalFormatting sqref="Q23:Q26">
    <cfRule type="cellIs" dxfId="35" priority="1" stopIfTrue="1" operator="between">
      <formula>0</formula>
      <formula>0.006</formula>
    </cfRule>
    <cfRule type="cellIs" dxfId="34" priority="2" stopIfTrue="1" operator="between">
      <formula>0.006</formula>
      <formula>0.01</formula>
    </cfRule>
    <cfRule type="cellIs" dxfId="33" priority="3" stopIfTrue="1" operator="greaterThan">
      <formula>0.01</formula>
    </cfRule>
  </conditionalFormatting>
  <conditionalFormatting sqref="Q3:Q6 Q27:Q32">
    <cfRule type="cellIs" dxfId="32" priority="25" stopIfTrue="1" operator="between">
      <formula>0</formula>
      <formula>0.006</formula>
    </cfRule>
    <cfRule type="cellIs" dxfId="31" priority="26" stopIfTrue="1" operator="between">
      <formula>0.006</formula>
      <formula>0.01</formula>
    </cfRule>
    <cfRule type="cellIs" dxfId="30" priority="27" stopIfTrue="1" operator="greaterThan">
      <formula>0.01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opLeftCell="E1" workbookViewId="0">
      <selection activeCell="M15" sqref="M15"/>
    </sheetView>
  </sheetViews>
  <sheetFormatPr defaultColWidth="9" defaultRowHeight="13.5" x14ac:dyDescent="0.15"/>
  <cols>
    <col min="1" max="11" width="9" style="1"/>
    <col min="12" max="12" width="11.875" style="1" customWidth="1"/>
    <col min="13" max="16384" width="9" style="1"/>
  </cols>
  <sheetData>
    <row r="1" spans="1:17" ht="16.5" x14ac:dyDescent="0.1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12" t="s">
        <v>16</v>
      </c>
    </row>
    <row r="2" spans="1:17" ht="16.5" x14ac:dyDescent="0.15">
      <c r="A2" s="2">
        <v>255</v>
      </c>
      <c r="B2" s="3">
        <v>255</v>
      </c>
      <c r="C2" s="4">
        <v>255</v>
      </c>
      <c r="D2" s="13">
        <v>0.31690140845070403</v>
      </c>
      <c r="E2" s="13">
        <v>0.33098591549295803</v>
      </c>
      <c r="F2" s="14">
        <f>4*D2/(-2*D2+12*E2+3)</f>
        <v>0.2</v>
      </c>
      <c r="G2" s="15">
        <f>9*E2/(-2*D2+12*E2+3)</f>
        <v>0.47</v>
      </c>
      <c r="H2" s="16">
        <f>F2/0.005</f>
        <v>40</v>
      </c>
      <c r="I2" s="16">
        <f>G2/0.005</f>
        <v>94</v>
      </c>
      <c r="J2" s="17">
        <f>ROUND(H2,0)</f>
        <v>40</v>
      </c>
      <c r="K2" s="17">
        <f>ROUND(I2,0)</f>
        <v>94</v>
      </c>
      <c r="L2" s="18">
        <v>2.734</v>
      </c>
      <c r="M2" s="19">
        <v>0.31819999999999998</v>
      </c>
      <c r="N2" s="20">
        <v>0.32840000000000003</v>
      </c>
      <c r="O2" s="20">
        <f>4*M2/(-2*M2+12*N2+3)</f>
        <v>0.20189074297316201</v>
      </c>
      <c r="P2" s="20">
        <f>9*N2/(-2*M2+12*N2+3)</f>
        <v>0.46881543049298902</v>
      </c>
      <c r="Q2" s="21">
        <f t="shared" ref="Q2:Q31" si="0">SQRT((F2-O2)*(F2-O2)+(G2-P2)*(G2-P2))</f>
        <v>2.2311687312930699E-3</v>
      </c>
    </row>
    <row r="3" spans="1:17" ht="16.5" x14ac:dyDescent="0.15">
      <c r="A3" s="2">
        <v>253</v>
      </c>
      <c r="B3" s="3">
        <v>255</v>
      </c>
      <c r="C3" s="4">
        <v>238</v>
      </c>
      <c r="D3" s="13">
        <v>0.31967213114754101</v>
      </c>
      <c r="E3" s="13">
        <v>0.34972677595628399</v>
      </c>
      <c r="F3" s="14">
        <f t="shared" ref="F3:F31" si="1">4*D3/(-2*D3+12*E3+3)</f>
        <v>0.19500000000000001</v>
      </c>
      <c r="G3" s="15">
        <f>9*E3/(-2*D3+12*E3+3)</f>
        <v>0.48</v>
      </c>
      <c r="H3" s="16">
        <f t="shared" ref="H3:I31" si="2">F3/0.005</f>
        <v>39</v>
      </c>
      <c r="I3" s="16">
        <f t="shared" si="2"/>
        <v>96</v>
      </c>
      <c r="J3" s="17">
        <f t="shared" ref="J3:K31" si="3">ROUND(H3,0)</f>
        <v>39</v>
      </c>
      <c r="K3" s="17">
        <f t="shared" si="3"/>
        <v>96</v>
      </c>
      <c r="L3" s="18"/>
      <c r="M3" s="19"/>
      <c r="N3" s="20"/>
      <c r="O3" s="20">
        <f t="shared" ref="O3:O31" si="4">4*M3/(-2*M3+12*N3+3)</f>
        <v>0</v>
      </c>
      <c r="P3" s="20">
        <f t="shared" ref="P3:P31" si="5">9*N3/(-2*M3+12*N3+3)</f>
        <v>0</v>
      </c>
      <c r="Q3" s="21">
        <f t="shared" si="0"/>
        <v>0.518097481175116</v>
      </c>
    </row>
    <row r="4" spans="1:17" ht="16.5" x14ac:dyDescent="0.15">
      <c r="A4" s="2">
        <v>252</v>
      </c>
      <c r="B4" s="3">
        <v>255</v>
      </c>
      <c r="C4" s="4">
        <v>0</v>
      </c>
      <c r="D4" s="13">
        <v>0.40160183066361599</v>
      </c>
      <c r="E4" s="13">
        <v>0.50343249427917602</v>
      </c>
      <c r="F4" s="14">
        <f t="shared" si="1"/>
        <v>0.19500000000000001</v>
      </c>
      <c r="G4" s="15">
        <f>9*E4/(-2*D4+12*E4+3)</f>
        <v>0.55000000000000004</v>
      </c>
      <c r="H4" s="16">
        <f t="shared" si="2"/>
        <v>39</v>
      </c>
      <c r="I4" s="16">
        <f t="shared" si="2"/>
        <v>110</v>
      </c>
      <c r="J4" s="17">
        <f t="shared" si="3"/>
        <v>39</v>
      </c>
      <c r="K4" s="17">
        <f t="shared" si="3"/>
        <v>110</v>
      </c>
      <c r="L4" s="18"/>
      <c r="M4" s="19"/>
      <c r="N4" s="20"/>
      <c r="O4" s="20">
        <f t="shared" si="4"/>
        <v>0</v>
      </c>
      <c r="P4" s="20">
        <f t="shared" si="5"/>
        <v>0</v>
      </c>
      <c r="Q4" s="21">
        <f t="shared" si="0"/>
        <v>0.58354519962038898</v>
      </c>
    </row>
    <row r="5" spans="1:17" ht="16.5" x14ac:dyDescent="0.15">
      <c r="A5" s="2">
        <v>255</v>
      </c>
      <c r="B5" s="3">
        <v>249</v>
      </c>
      <c r="C5" s="4">
        <v>0</v>
      </c>
      <c r="D5" s="13">
        <v>0.41647855530473998</v>
      </c>
      <c r="E5" s="13">
        <v>0.49661399548532698</v>
      </c>
      <c r="F5" s="14">
        <f t="shared" si="1"/>
        <v>0.20499999999999999</v>
      </c>
      <c r="G5" s="15">
        <f>9*E5/(-2*D5+12*E5+3)</f>
        <v>0.55000000000000004</v>
      </c>
      <c r="H5" s="16">
        <f t="shared" si="2"/>
        <v>41</v>
      </c>
      <c r="I5" s="16">
        <f t="shared" si="2"/>
        <v>110</v>
      </c>
      <c r="J5" s="17">
        <f t="shared" si="3"/>
        <v>41</v>
      </c>
      <c r="K5" s="17">
        <f t="shared" si="3"/>
        <v>110</v>
      </c>
      <c r="L5" s="18"/>
      <c r="M5" s="19"/>
      <c r="N5" s="20"/>
      <c r="O5" s="20">
        <f t="shared" si="4"/>
        <v>0</v>
      </c>
      <c r="P5" s="20">
        <f t="shared" si="5"/>
        <v>0</v>
      </c>
      <c r="Q5" s="21">
        <f t="shared" si="0"/>
        <v>0.58696252009817496</v>
      </c>
    </row>
    <row r="6" spans="1:17" ht="16.5" x14ac:dyDescent="0.15">
      <c r="A6" s="2">
        <v>255</v>
      </c>
      <c r="B6" s="3">
        <v>233</v>
      </c>
      <c r="C6" s="4">
        <v>0</v>
      </c>
      <c r="D6" s="13">
        <v>0.430957683741648</v>
      </c>
      <c r="E6" s="13">
        <v>0.48997772828507802</v>
      </c>
      <c r="F6" s="14">
        <f t="shared" si="1"/>
        <v>0.215</v>
      </c>
      <c r="G6" s="15">
        <f t="shared" ref="G6:G31" si="6">9*E6/(-2*D6+12*E6+3)</f>
        <v>0.55000000000000004</v>
      </c>
      <c r="H6" s="16">
        <f t="shared" si="2"/>
        <v>43</v>
      </c>
      <c r="I6" s="16">
        <f t="shared" si="2"/>
        <v>110</v>
      </c>
      <c r="J6" s="17">
        <f t="shared" si="3"/>
        <v>43</v>
      </c>
      <c r="K6" s="17">
        <f t="shared" si="3"/>
        <v>110</v>
      </c>
      <c r="L6" s="18"/>
      <c r="M6" s="19"/>
      <c r="N6" s="20"/>
      <c r="O6" s="20">
        <f t="shared" si="4"/>
        <v>0</v>
      </c>
      <c r="P6" s="20">
        <f t="shared" si="5"/>
        <v>0</v>
      </c>
      <c r="Q6" s="21">
        <f t="shared" si="0"/>
        <v>0.59052942348370796</v>
      </c>
    </row>
    <row r="7" spans="1:17" ht="16.5" x14ac:dyDescent="0.15">
      <c r="A7" s="2">
        <v>255</v>
      </c>
      <c r="B7" s="3">
        <v>209</v>
      </c>
      <c r="C7" s="4">
        <v>0</v>
      </c>
      <c r="D7" s="22">
        <v>0.45762711864406802</v>
      </c>
      <c r="E7" s="22">
        <v>0.46186440677966101</v>
      </c>
      <c r="F7" s="14">
        <f t="shared" si="1"/>
        <v>0.24</v>
      </c>
      <c r="G7" s="15">
        <f t="shared" si="6"/>
        <v>0.54500000000000004</v>
      </c>
      <c r="H7" s="16">
        <f t="shared" si="2"/>
        <v>48</v>
      </c>
      <c r="I7" s="16">
        <f t="shared" si="2"/>
        <v>109</v>
      </c>
      <c r="J7" s="17">
        <f t="shared" si="3"/>
        <v>48</v>
      </c>
      <c r="K7" s="17">
        <f t="shared" si="3"/>
        <v>109</v>
      </c>
      <c r="L7" s="18"/>
      <c r="M7" s="19"/>
      <c r="N7" s="20"/>
      <c r="O7" s="20">
        <f t="shared" si="4"/>
        <v>0</v>
      </c>
      <c r="P7" s="20">
        <f t="shared" si="5"/>
        <v>0</v>
      </c>
      <c r="Q7" s="21">
        <f t="shared" si="0"/>
        <v>0.59550398823181705</v>
      </c>
    </row>
    <row r="8" spans="1:17" ht="16.5" x14ac:dyDescent="0.15">
      <c r="A8" s="2">
        <v>255</v>
      </c>
      <c r="B8" s="3">
        <v>184</v>
      </c>
      <c r="C8" s="4">
        <v>0</v>
      </c>
      <c r="D8" s="22">
        <v>0.495918367346939</v>
      </c>
      <c r="E8" s="22">
        <v>0.44489795918367397</v>
      </c>
      <c r="F8" s="14">
        <f t="shared" si="1"/>
        <v>0.27</v>
      </c>
      <c r="G8" s="15">
        <f t="shared" si="6"/>
        <v>0.54500000000000004</v>
      </c>
      <c r="H8" s="16">
        <f t="shared" si="2"/>
        <v>54</v>
      </c>
      <c r="I8" s="16">
        <f t="shared" si="2"/>
        <v>109</v>
      </c>
      <c r="J8" s="17">
        <f t="shared" si="3"/>
        <v>54</v>
      </c>
      <c r="K8" s="17">
        <f t="shared" si="3"/>
        <v>109</v>
      </c>
      <c r="L8" s="18"/>
      <c r="M8" s="19"/>
      <c r="N8" s="20"/>
      <c r="O8" s="20">
        <f t="shared" si="4"/>
        <v>0</v>
      </c>
      <c r="P8" s="20">
        <f t="shared" si="5"/>
        <v>0</v>
      </c>
      <c r="Q8" s="21">
        <f t="shared" si="0"/>
        <v>0.60821460028512997</v>
      </c>
    </row>
    <row r="9" spans="1:17" ht="16.5" x14ac:dyDescent="0.15">
      <c r="A9" s="2">
        <v>255</v>
      </c>
      <c r="B9" s="3">
        <v>161</v>
      </c>
      <c r="C9" s="4">
        <v>0</v>
      </c>
      <c r="D9" s="22">
        <v>0.52890173410404595</v>
      </c>
      <c r="E9" s="22">
        <v>0.41618497109826602</v>
      </c>
      <c r="F9" s="14">
        <f t="shared" si="1"/>
        <v>0.30499999999999999</v>
      </c>
      <c r="G9" s="15">
        <f t="shared" si="6"/>
        <v>0.54</v>
      </c>
      <c r="H9" s="16">
        <f t="shared" si="2"/>
        <v>61</v>
      </c>
      <c r="I9" s="16">
        <f t="shared" si="2"/>
        <v>108</v>
      </c>
      <c r="J9" s="17">
        <f t="shared" si="3"/>
        <v>61</v>
      </c>
      <c r="K9" s="17">
        <f t="shared" si="3"/>
        <v>108</v>
      </c>
      <c r="L9" s="18"/>
      <c r="M9" s="19"/>
      <c r="N9" s="20"/>
      <c r="O9" s="20">
        <f t="shared" si="4"/>
        <v>0</v>
      </c>
      <c r="P9" s="20">
        <f t="shared" si="5"/>
        <v>0</v>
      </c>
      <c r="Q9" s="21">
        <f t="shared" si="0"/>
        <v>0.62018142506850404</v>
      </c>
    </row>
    <row r="10" spans="1:17" ht="16.5" x14ac:dyDescent="0.15">
      <c r="A10" s="2">
        <v>255</v>
      </c>
      <c r="B10" s="3">
        <v>142</v>
      </c>
      <c r="C10" s="4">
        <v>0</v>
      </c>
      <c r="D10" s="22">
        <v>0.55321100917431199</v>
      </c>
      <c r="E10" s="22">
        <v>0.39266055045871601</v>
      </c>
      <c r="F10" s="14">
        <f t="shared" si="1"/>
        <v>0.33500000000000002</v>
      </c>
      <c r="G10" s="15">
        <f t="shared" si="6"/>
        <v>0.53500000000000003</v>
      </c>
      <c r="H10" s="16">
        <f t="shared" si="2"/>
        <v>67</v>
      </c>
      <c r="I10" s="16">
        <f t="shared" si="2"/>
        <v>107</v>
      </c>
      <c r="J10" s="17">
        <f t="shared" si="3"/>
        <v>67</v>
      </c>
      <c r="K10" s="17">
        <f t="shared" si="3"/>
        <v>107</v>
      </c>
      <c r="L10" s="18"/>
      <c r="M10" s="19"/>
      <c r="N10" s="20"/>
      <c r="O10" s="20">
        <f t="shared" si="4"/>
        <v>0</v>
      </c>
      <c r="P10" s="20">
        <f t="shared" si="5"/>
        <v>0</v>
      </c>
      <c r="Q10" s="21">
        <f t="shared" si="0"/>
        <v>0.63122896004540197</v>
      </c>
    </row>
    <row r="11" spans="1:17" ht="16.5" x14ac:dyDescent="0.15">
      <c r="A11" s="2">
        <v>255</v>
      </c>
      <c r="B11" s="3">
        <v>116</v>
      </c>
      <c r="C11" s="4">
        <v>15</v>
      </c>
      <c r="D11" s="22">
        <v>0.58965517241379295</v>
      </c>
      <c r="E11" s="22">
        <v>0.36551724137931002</v>
      </c>
      <c r="F11" s="14">
        <f t="shared" si="1"/>
        <v>0.38</v>
      </c>
      <c r="G11" s="15">
        <f t="shared" si="6"/>
        <v>0.53</v>
      </c>
      <c r="H11" s="16">
        <f t="shared" si="2"/>
        <v>76</v>
      </c>
      <c r="I11" s="16">
        <f t="shared" si="2"/>
        <v>106</v>
      </c>
      <c r="J11" s="17">
        <f t="shared" si="3"/>
        <v>76</v>
      </c>
      <c r="K11" s="17">
        <f t="shared" si="3"/>
        <v>106</v>
      </c>
      <c r="L11" s="18"/>
      <c r="M11" s="19"/>
      <c r="N11" s="20"/>
      <c r="O11" s="20">
        <f t="shared" si="4"/>
        <v>0</v>
      </c>
      <c r="P11" s="20">
        <f t="shared" si="5"/>
        <v>0</v>
      </c>
      <c r="Q11" s="21">
        <f t="shared" si="0"/>
        <v>0.65215028942721498</v>
      </c>
    </row>
    <row r="12" spans="1:17" ht="16.5" x14ac:dyDescent="0.15">
      <c r="A12" s="2">
        <v>255</v>
      </c>
      <c r="B12" s="3">
        <v>0</v>
      </c>
      <c r="C12" s="4">
        <v>0</v>
      </c>
      <c r="D12" s="22">
        <v>0.68463810930576097</v>
      </c>
      <c r="E12" s="22">
        <v>0.30723781388478599</v>
      </c>
      <c r="F12" s="14">
        <f t="shared" si="1"/>
        <v>0.51500000000000001</v>
      </c>
      <c r="G12" s="15">
        <f t="shared" si="6"/>
        <v>0.52</v>
      </c>
      <c r="H12" s="16">
        <f t="shared" si="2"/>
        <v>103</v>
      </c>
      <c r="I12" s="16">
        <f t="shared" si="2"/>
        <v>104</v>
      </c>
      <c r="J12" s="17">
        <f t="shared" si="3"/>
        <v>103</v>
      </c>
      <c r="K12" s="17">
        <f t="shared" si="3"/>
        <v>104</v>
      </c>
      <c r="L12" s="18"/>
      <c r="M12" s="19"/>
      <c r="N12" s="20"/>
      <c r="O12" s="20">
        <f t="shared" si="4"/>
        <v>0</v>
      </c>
      <c r="P12" s="20">
        <f t="shared" si="5"/>
        <v>0</v>
      </c>
      <c r="Q12" s="21">
        <f t="shared" si="0"/>
        <v>0.73186405841522195</v>
      </c>
    </row>
    <row r="13" spans="1:17" ht="16.5" x14ac:dyDescent="0.15">
      <c r="A13" s="2">
        <v>255</v>
      </c>
      <c r="B13" s="3">
        <v>5</v>
      </c>
      <c r="C13" s="4">
        <v>55</v>
      </c>
      <c r="D13" s="22">
        <v>0.65395683453237397</v>
      </c>
      <c r="E13" s="22">
        <v>0.290647482014389</v>
      </c>
      <c r="F13" s="14">
        <f t="shared" si="1"/>
        <v>0.505</v>
      </c>
      <c r="G13" s="15">
        <f t="shared" si="6"/>
        <v>0.505</v>
      </c>
      <c r="H13" s="16">
        <f t="shared" si="2"/>
        <v>101</v>
      </c>
      <c r="I13" s="16">
        <f t="shared" si="2"/>
        <v>101</v>
      </c>
      <c r="J13" s="17">
        <f t="shared" si="3"/>
        <v>101</v>
      </c>
      <c r="K13" s="17">
        <f t="shared" si="3"/>
        <v>101</v>
      </c>
      <c r="L13" s="18">
        <v>1.647</v>
      </c>
      <c r="M13" s="19">
        <v>0.67079999999999995</v>
      </c>
      <c r="N13" s="20">
        <v>0.29730000000000001</v>
      </c>
      <c r="O13" s="20">
        <f t="shared" si="4"/>
        <v>0.51343283582089505</v>
      </c>
      <c r="P13" s="20">
        <f t="shared" si="5"/>
        <v>0.51199770378874898</v>
      </c>
      <c r="Q13" s="21">
        <f t="shared" si="0"/>
        <v>1.0958128412153399E-2</v>
      </c>
    </row>
    <row r="14" spans="1:17" ht="16.5" x14ac:dyDescent="0.15">
      <c r="A14" s="2">
        <v>255</v>
      </c>
      <c r="B14" s="3">
        <v>19</v>
      </c>
      <c r="C14" s="4">
        <v>82</v>
      </c>
      <c r="D14" s="22">
        <v>0.62820512820512797</v>
      </c>
      <c r="E14" s="22">
        <v>0.28205128205128199</v>
      </c>
      <c r="F14" s="14">
        <f t="shared" si="1"/>
        <v>0.49</v>
      </c>
      <c r="G14" s="15">
        <f t="shared" si="6"/>
        <v>0.495</v>
      </c>
      <c r="H14" s="16">
        <f t="shared" si="2"/>
        <v>98</v>
      </c>
      <c r="I14" s="16">
        <f t="shared" si="2"/>
        <v>99</v>
      </c>
      <c r="J14" s="17">
        <f t="shared" si="3"/>
        <v>98</v>
      </c>
      <c r="K14" s="17">
        <f t="shared" si="3"/>
        <v>99</v>
      </c>
      <c r="L14" s="18"/>
      <c r="M14" s="19"/>
      <c r="N14" s="20"/>
      <c r="O14" s="20">
        <f t="shared" si="4"/>
        <v>0</v>
      </c>
      <c r="P14" s="20">
        <f t="shared" si="5"/>
        <v>0</v>
      </c>
      <c r="Q14" s="21">
        <f t="shared" si="0"/>
        <v>0.69650915284725401</v>
      </c>
    </row>
    <row r="15" spans="1:17" ht="16.5" x14ac:dyDescent="0.15">
      <c r="A15" s="2">
        <v>255</v>
      </c>
      <c r="B15" s="3">
        <v>34</v>
      </c>
      <c r="C15" s="4">
        <v>149</v>
      </c>
      <c r="D15" s="22">
        <v>0.52105263157894699</v>
      </c>
      <c r="E15" s="22">
        <v>0.231578947368421</v>
      </c>
      <c r="F15" s="14">
        <f t="shared" si="1"/>
        <v>0.44</v>
      </c>
      <c r="G15" s="15">
        <f t="shared" si="6"/>
        <v>0.44</v>
      </c>
      <c r="H15" s="16">
        <f t="shared" si="2"/>
        <v>88</v>
      </c>
      <c r="I15" s="16">
        <f t="shared" si="2"/>
        <v>88</v>
      </c>
      <c r="J15" s="17">
        <f t="shared" si="3"/>
        <v>88</v>
      </c>
      <c r="K15" s="17">
        <f t="shared" si="3"/>
        <v>88</v>
      </c>
      <c r="L15" s="18"/>
      <c r="M15" s="19"/>
      <c r="N15" s="20"/>
      <c r="O15" s="20">
        <f t="shared" si="4"/>
        <v>0</v>
      </c>
      <c r="P15" s="20">
        <f t="shared" si="5"/>
        <v>0</v>
      </c>
      <c r="Q15" s="21">
        <f t="shared" si="0"/>
        <v>0.62225396744416195</v>
      </c>
    </row>
    <row r="16" spans="1:17" ht="16.5" x14ac:dyDescent="0.15">
      <c r="A16" s="2">
        <v>116</v>
      </c>
      <c r="B16" s="3">
        <v>32</v>
      </c>
      <c r="C16" s="4">
        <v>255</v>
      </c>
      <c r="D16" s="22">
        <v>0.208215297450425</v>
      </c>
      <c r="E16" s="22">
        <v>6.79886685552408E-2</v>
      </c>
      <c r="F16" s="14">
        <f t="shared" si="1"/>
        <v>0.245</v>
      </c>
      <c r="G16" s="15">
        <f t="shared" si="6"/>
        <v>0.18</v>
      </c>
      <c r="H16" s="16">
        <f t="shared" si="2"/>
        <v>49</v>
      </c>
      <c r="I16" s="16">
        <f t="shared" si="2"/>
        <v>36</v>
      </c>
      <c r="J16" s="17">
        <f t="shared" si="3"/>
        <v>49</v>
      </c>
      <c r="K16" s="17">
        <f t="shared" si="3"/>
        <v>36</v>
      </c>
      <c r="L16" s="18">
        <v>1.117</v>
      </c>
      <c r="M16" s="19">
        <v>0.2099</v>
      </c>
      <c r="N16" s="20">
        <v>7.0000000000000007E-2</v>
      </c>
      <c r="O16" s="20">
        <f t="shared" si="4"/>
        <v>0.24548272030875401</v>
      </c>
      <c r="P16" s="20">
        <f t="shared" si="5"/>
        <v>0.18419975440032799</v>
      </c>
      <c r="Q16" s="21">
        <f t="shared" si="0"/>
        <v>4.2274053412884403E-3</v>
      </c>
    </row>
    <row r="17" spans="1:17" ht="16.5" x14ac:dyDescent="0.15">
      <c r="A17" s="2">
        <v>0</v>
      </c>
      <c r="B17" s="3">
        <v>0</v>
      </c>
      <c r="C17" s="4">
        <v>255</v>
      </c>
      <c r="D17" s="22">
        <v>0.14860287891617299</v>
      </c>
      <c r="E17" s="22">
        <v>2.8789161727349698E-2</v>
      </c>
      <c r="F17" s="14">
        <f t="shared" si="1"/>
        <v>0.19500000000000001</v>
      </c>
      <c r="G17" s="15">
        <f t="shared" si="6"/>
        <v>8.5000000000000006E-2</v>
      </c>
      <c r="H17" s="16">
        <f t="shared" si="2"/>
        <v>39</v>
      </c>
      <c r="I17" s="16">
        <f t="shared" si="2"/>
        <v>17</v>
      </c>
      <c r="J17" s="17">
        <f t="shared" si="3"/>
        <v>39</v>
      </c>
      <c r="K17" s="17">
        <f t="shared" si="3"/>
        <v>17</v>
      </c>
      <c r="L17" s="18">
        <v>0.92749999999999999</v>
      </c>
      <c r="M17" s="19">
        <v>0.15540000000000001</v>
      </c>
      <c r="N17" s="20">
        <v>3.3599999999999998E-2</v>
      </c>
      <c r="O17" s="20">
        <f t="shared" si="4"/>
        <v>0.201008925106713</v>
      </c>
      <c r="P17" s="20">
        <f t="shared" si="5"/>
        <v>9.77881257275902E-2</v>
      </c>
      <c r="Q17" s="21">
        <f t="shared" si="0"/>
        <v>1.41295201816178E-2</v>
      </c>
    </row>
    <row r="18" spans="1:17" ht="16.5" x14ac:dyDescent="0.15">
      <c r="A18" s="2">
        <v>14</v>
      </c>
      <c r="B18" s="3">
        <v>105</v>
      </c>
      <c r="C18" s="4">
        <v>255</v>
      </c>
      <c r="D18" s="22">
        <v>0.157894736842105</v>
      </c>
      <c r="E18" s="22">
        <v>0.105263157894737</v>
      </c>
      <c r="F18" s="14">
        <f t="shared" si="1"/>
        <v>0.16</v>
      </c>
      <c r="G18" s="15">
        <f t="shared" si="6"/>
        <v>0.24</v>
      </c>
      <c r="H18" s="16">
        <f t="shared" si="2"/>
        <v>32</v>
      </c>
      <c r="I18" s="16">
        <f t="shared" si="2"/>
        <v>48</v>
      </c>
      <c r="J18" s="17">
        <f t="shared" si="3"/>
        <v>32</v>
      </c>
      <c r="K18" s="17">
        <f t="shared" si="3"/>
        <v>48</v>
      </c>
      <c r="L18" s="18">
        <v>1.44</v>
      </c>
      <c r="M18" s="19">
        <v>0.157</v>
      </c>
      <c r="N18" s="20">
        <v>0.1066</v>
      </c>
      <c r="O18" s="20">
        <f t="shared" si="4"/>
        <v>0.158377887622314</v>
      </c>
      <c r="P18" s="20">
        <f t="shared" si="5"/>
        <v>0.24195500857459901</v>
      </c>
      <c r="Q18" s="21">
        <f t="shared" si="0"/>
        <v>2.5403360196236801E-3</v>
      </c>
    </row>
    <row r="19" spans="1:17" ht="16.5" x14ac:dyDescent="0.15">
      <c r="A19" s="2">
        <v>0</v>
      </c>
      <c r="B19" s="3">
        <v>129</v>
      </c>
      <c r="C19" s="4">
        <v>255</v>
      </c>
      <c r="D19" s="22">
        <v>0.15856622114216301</v>
      </c>
      <c r="E19" s="22">
        <v>0.14094775212636701</v>
      </c>
      <c r="F19" s="14">
        <f t="shared" si="1"/>
        <v>0.14499999999999999</v>
      </c>
      <c r="G19" s="15">
        <f t="shared" si="6"/>
        <v>0.28999999999999998</v>
      </c>
      <c r="H19" s="16">
        <f t="shared" si="2"/>
        <v>29</v>
      </c>
      <c r="I19" s="16">
        <f t="shared" si="2"/>
        <v>58</v>
      </c>
      <c r="J19" s="17">
        <f t="shared" si="3"/>
        <v>29</v>
      </c>
      <c r="K19" s="17">
        <f t="shared" si="3"/>
        <v>58</v>
      </c>
      <c r="L19" s="18"/>
      <c r="M19" s="19"/>
      <c r="N19" s="20"/>
      <c r="O19" s="20">
        <f t="shared" si="4"/>
        <v>0</v>
      </c>
      <c r="P19" s="20">
        <f t="shared" si="5"/>
        <v>0</v>
      </c>
      <c r="Q19" s="21">
        <f t="shared" si="0"/>
        <v>0.32422985673746901</v>
      </c>
    </row>
    <row r="20" spans="1:17" ht="16.5" x14ac:dyDescent="0.15">
      <c r="A20" s="2">
        <v>0</v>
      </c>
      <c r="B20" s="3">
        <v>145</v>
      </c>
      <c r="C20" s="4">
        <v>255</v>
      </c>
      <c r="D20" s="22">
        <v>0.15799739921976599</v>
      </c>
      <c r="E20" s="22">
        <v>0.16644993498049401</v>
      </c>
      <c r="F20" s="14">
        <f t="shared" si="1"/>
        <v>0.13500000000000001</v>
      </c>
      <c r="G20" s="15">
        <f t="shared" si="6"/>
        <v>0.32</v>
      </c>
      <c r="H20" s="16">
        <f t="shared" si="2"/>
        <v>27</v>
      </c>
      <c r="I20" s="16">
        <f t="shared" si="2"/>
        <v>64</v>
      </c>
      <c r="J20" s="17">
        <f t="shared" si="3"/>
        <v>27</v>
      </c>
      <c r="K20" s="17">
        <f t="shared" si="3"/>
        <v>64</v>
      </c>
      <c r="L20" s="18"/>
      <c r="M20" s="19"/>
      <c r="N20" s="20"/>
      <c r="O20" s="20">
        <f t="shared" si="4"/>
        <v>0</v>
      </c>
      <c r="P20" s="20">
        <f t="shared" si="5"/>
        <v>0</v>
      </c>
      <c r="Q20" s="21">
        <f t="shared" si="0"/>
        <v>0.34731109973624502</v>
      </c>
    </row>
    <row r="21" spans="1:17" ht="16.5" x14ac:dyDescent="0.15">
      <c r="A21" s="2">
        <v>0</v>
      </c>
      <c r="B21" s="3">
        <v>170</v>
      </c>
      <c r="C21" s="4">
        <v>255</v>
      </c>
      <c r="D21" s="22">
        <v>0.160944206008584</v>
      </c>
      <c r="E21" s="22">
        <v>0.20600858369098701</v>
      </c>
      <c r="F21" s="14">
        <f t="shared" si="1"/>
        <v>0.125</v>
      </c>
      <c r="G21" s="15">
        <f t="shared" si="6"/>
        <v>0.36</v>
      </c>
      <c r="H21" s="16">
        <f t="shared" si="2"/>
        <v>25</v>
      </c>
      <c r="I21" s="16">
        <f t="shared" si="2"/>
        <v>72</v>
      </c>
      <c r="J21" s="17">
        <f t="shared" si="3"/>
        <v>25</v>
      </c>
      <c r="K21" s="17">
        <f t="shared" si="3"/>
        <v>72</v>
      </c>
      <c r="L21" s="18"/>
      <c r="M21" s="19"/>
      <c r="N21" s="20"/>
      <c r="O21" s="20">
        <f t="shared" si="4"/>
        <v>0</v>
      </c>
      <c r="P21" s="20">
        <f t="shared" si="5"/>
        <v>0</v>
      </c>
      <c r="Q21" s="21">
        <f t="shared" si="0"/>
        <v>0.38108398024582502</v>
      </c>
    </row>
    <row r="22" spans="1:17" ht="16.5" x14ac:dyDescent="0.15">
      <c r="A22" s="2">
        <v>0</v>
      </c>
      <c r="B22" s="3">
        <v>193</v>
      </c>
      <c r="C22" s="4">
        <v>255</v>
      </c>
      <c r="D22" s="22">
        <v>0.16666666666666699</v>
      </c>
      <c r="E22" s="22">
        <v>0.240740740740741</v>
      </c>
      <c r="F22" s="14">
        <f t="shared" si="1"/>
        <v>0.12</v>
      </c>
      <c r="G22" s="15">
        <f t="shared" si="6"/>
        <v>0.39</v>
      </c>
      <c r="H22" s="16">
        <f t="shared" si="2"/>
        <v>24</v>
      </c>
      <c r="I22" s="16">
        <f t="shared" si="2"/>
        <v>78</v>
      </c>
      <c r="J22" s="17">
        <f t="shared" si="3"/>
        <v>24</v>
      </c>
      <c r="K22" s="17">
        <f t="shared" si="3"/>
        <v>78</v>
      </c>
      <c r="L22" s="18"/>
      <c r="M22" s="19"/>
      <c r="N22" s="20"/>
      <c r="O22" s="20">
        <f t="shared" si="4"/>
        <v>0</v>
      </c>
      <c r="P22" s="20">
        <f t="shared" si="5"/>
        <v>0</v>
      </c>
      <c r="Q22" s="21">
        <f t="shared" si="0"/>
        <v>0.40804411526206302</v>
      </c>
    </row>
    <row r="23" spans="1:17" ht="16.5" x14ac:dyDescent="0.15">
      <c r="A23" s="2">
        <v>0</v>
      </c>
      <c r="B23" s="3">
        <v>219</v>
      </c>
      <c r="C23" s="4">
        <v>255</v>
      </c>
      <c r="D23" s="22">
        <v>0.16666666666666699</v>
      </c>
      <c r="E23" s="22">
        <v>0.28282828282828298</v>
      </c>
      <c r="F23" s="14">
        <f t="shared" si="1"/>
        <v>0.11</v>
      </c>
      <c r="G23" s="15">
        <f t="shared" si="6"/>
        <v>0.42</v>
      </c>
      <c r="H23" s="16">
        <f t="shared" si="2"/>
        <v>22</v>
      </c>
      <c r="I23" s="16">
        <f t="shared" si="2"/>
        <v>84</v>
      </c>
      <c r="J23" s="17">
        <f t="shared" si="3"/>
        <v>22</v>
      </c>
      <c r="K23" s="17">
        <f t="shared" si="3"/>
        <v>84</v>
      </c>
      <c r="L23" s="18"/>
      <c r="M23" s="19"/>
      <c r="N23" s="20"/>
      <c r="O23" s="20">
        <f t="shared" si="4"/>
        <v>0</v>
      </c>
      <c r="P23" s="20">
        <f t="shared" si="5"/>
        <v>0</v>
      </c>
      <c r="Q23" s="21">
        <f t="shared" si="0"/>
        <v>0.434165866921848</v>
      </c>
    </row>
    <row r="24" spans="1:17" ht="16.5" x14ac:dyDescent="0.15">
      <c r="A24" s="2">
        <v>0</v>
      </c>
      <c r="B24" s="3">
        <v>255</v>
      </c>
      <c r="C24" s="4">
        <v>253</v>
      </c>
      <c r="D24" s="22">
        <v>0.17663551401869201</v>
      </c>
      <c r="E24" s="22">
        <v>0.34018691588784999</v>
      </c>
      <c r="F24" s="14">
        <f t="shared" si="1"/>
        <v>0.105</v>
      </c>
      <c r="G24" s="15">
        <f t="shared" si="6"/>
        <v>0.45500000000000002</v>
      </c>
      <c r="H24" s="16">
        <f t="shared" si="2"/>
        <v>21</v>
      </c>
      <c r="I24" s="16">
        <f t="shared" si="2"/>
        <v>91</v>
      </c>
      <c r="J24" s="17">
        <f t="shared" si="3"/>
        <v>21</v>
      </c>
      <c r="K24" s="17">
        <f t="shared" si="3"/>
        <v>91</v>
      </c>
      <c r="L24" s="18"/>
      <c r="M24" s="19"/>
      <c r="N24" s="20"/>
      <c r="O24" s="20">
        <f t="shared" si="4"/>
        <v>0</v>
      </c>
      <c r="P24" s="20">
        <f t="shared" si="5"/>
        <v>0</v>
      </c>
      <c r="Q24" s="21">
        <f t="shared" si="0"/>
        <v>0.46695824224442201</v>
      </c>
    </row>
    <row r="25" spans="1:17" ht="16.5" x14ac:dyDescent="0.15">
      <c r="A25" s="2">
        <v>0</v>
      </c>
      <c r="B25" s="3">
        <v>255</v>
      </c>
      <c r="C25" s="4">
        <v>225</v>
      </c>
      <c r="D25" s="22">
        <v>0.18</v>
      </c>
      <c r="E25" s="22">
        <v>0.38</v>
      </c>
      <c r="F25" s="14">
        <f t="shared" si="1"/>
        <v>0.1</v>
      </c>
      <c r="G25" s="15">
        <f t="shared" si="6"/>
        <v>0.47499999999999998</v>
      </c>
      <c r="H25" s="16">
        <f t="shared" si="2"/>
        <v>20</v>
      </c>
      <c r="I25" s="16">
        <f t="shared" si="2"/>
        <v>95</v>
      </c>
      <c r="J25" s="17">
        <f t="shared" si="3"/>
        <v>20</v>
      </c>
      <c r="K25" s="17">
        <f t="shared" si="3"/>
        <v>95</v>
      </c>
      <c r="L25" s="18"/>
      <c r="M25" s="19"/>
      <c r="N25" s="20"/>
      <c r="O25" s="20">
        <f t="shared" si="4"/>
        <v>0</v>
      </c>
      <c r="P25" s="20">
        <f t="shared" si="5"/>
        <v>0</v>
      </c>
      <c r="Q25" s="21">
        <f t="shared" si="0"/>
        <v>0.48541219597369001</v>
      </c>
    </row>
    <row r="26" spans="1:17" ht="16.5" x14ac:dyDescent="0.15">
      <c r="A26" s="2">
        <v>0</v>
      </c>
      <c r="B26" s="3">
        <v>255</v>
      </c>
      <c r="C26" s="4">
        <v>201</v>
      </c>
      <c r="D26" s="23">
        <v>0.18076109936575099</v>
      </c>
      <c r="E26" s="23">
        <v>0.41437632135306601</v>
      </c>
      <c r="F26" s="14">
        <f t="shared" si="1"/>
        <v>9.5000000000000001E-2</v>
      </c>
      <c r="G26" s="15">
        <f t="shared" si="6"/>
        <v>0.49</v>
      </c>
      <c r="H26" s="16">
        <f t="shared" si="2"/>
        <v>19</v>
      </c>
      <c r="I26" s="16">
        <f t="shared" si="2"/>
        <v>98</v>
      </c>
      <c r="J26" s="17">
        <f t="shared" si="3"/>
        <v>19</v>
      </c>
      <c r="K26" s="17">
        <f t="shared" si="3"/>
        <v>98</v>
      </c>
      <c r="L26" s="18"/>
      <c r="M26" s="19"/>
      <c r="N26" s="20"/>
      <c r="O26" s="20">
        <f t="shared" si="4"/>
        <v>0</v>
      </c>
      <c r="P26" s="20">
        <f t="shared" si="5"/>
        <v>0</v>
      </c>
      <c r="Q26" s="21">
        <f t="shared" si="0"/>
        <v>0.49912423303221798</v>
      </c>
    </row>
    <row r="27" spans="1:17" ht="16.5" x14ac:dyDescent="0.15">
      <c r="A27" s="2">
        <v>0</v>
      </c>
      <c r="B27" s="3">
        <v>255</v>
      </c>
      <c r="C27" s="4">
        <v>144</v>
      </c>
      <c r="D27" s="22">
        <v>0.186131386861314</v>
      </c>
      <c r="E27" s="22">
        <v>0.51094890510948898</v>
      </c>
      <c r="F27" s="14">
        <f t="shared" si="1"/>
        <v>8.5000000000000006E-2</v>
      </c>
      <c r="G27" s="15">
        <f t="shared" si="6"/>
        <v>0.52500000000000002</v>
      </c>
      <c r="H27" s="16">
        <f t="shared" si="2"/>
        <v>17</v>
      </c>
      <c r="I27" s="16">
        <f t="shared" si="2"/>
        <v>105</v>
      </c>
      <c r="J27" s="17">
        <f t="shared" si="3"/>
        <v>17</v>
      </c>
      <c r="K27" s="17">
        <f t="shared" si="3"/>
        <v>105</v>
      </c>
      <c r="L27" s="18"/>
      <c r="M27" s="19"/>
      <c r="N27" s="20"/>
      <c r="O27" s="20">
        <f t="shared" si="4"/>
        <v>0</v>
      </c>
      <c r="P27" s="20">
        <f t="shared" si="5"/>
        <v>0</v>
      </c>
      <c r="Q27" s="21">
        <f t="shared" si="0"/>
        <v>0.53183644102298999</v>
      </c>
    </row>
    <row r="28" spans="1:17" ht="16.5" x14ac:dyDescent="0.15">
      <c r="A28" s="2">
        <v>0</v>
      </c>
      <c r="B28" s="3">
        <v>255</v>
      </c>
      <c r="C28" s="4">
        <v>0</v>
      </c>
      <c r="D28" s="22">
        <v>0.19340974212034401</v>
      </c>
      <c r="E28" s="22">
        <v>0.64183381088825298</v>
      </c>
      <c r="F28" s="14">
        <f t="shared" si="1"/>
        <v>7.4999999999999997E-2</v>
      </c>
      <c r="G28" s="15">
        <f t="shared" si="6"/>
        <v>0.56000000000000005</v>
      </c>
      <c r="H28" s="16">
        <f t="shared" si="2"/>
        <v>15</v>
      </c>
      <c r="I28" s="16">
        <f t="shared" si="2"/>
        <v>112</v>
      </c>
      <c r="J28" s="17">
        <f t="shared" si="3"/>
        <v>15</v>
      </c>
      <c r="K28" s="17">
        <f t="shared" si="3"/>
        <v>112</v>
      </c>
      <c r="L28" s="18"/>
      <c r="M28" s="19"/>
      <c r="N28" s="20"/>
      <c r="O28" s="20">
        <f t="shared" si="4"/>
        <v>0</v>
      </c>
      <c r="P28" s="20">
        <f t="shared" si="5"/>
        <v>0</v>
      </c>
      <c r="Q28" s="21">
        <f t="shared" si="0"/>
        <v>0.56499999999999995</v>
      </c>
    </row>
    <row r="29" spans="1:17" ht="16.5" x14ac:dyDescent="0.15">
      <c r="A29" s="2">
        <v>93</v>
      </c>
      <c r="B29" s="3">
        <v>255</v>
      </c>
      <c r="C29" s="4">
        <v>0</v>
      </c>
      <c r="D29" s="22">
        <v>0.23684210526315799</v>
      </c>
      <c r="E29" s="22">
        <v>0.62049861495844905</v>
      </c>
      <c r="F29" s="14">
        <f t="shared" si="1"/>
        <v>9.5000000000000001E-2</v>
      </c>
      <c r="G29" s="15">
        <f t="shared" si="6"/>
        <v>0.56000000000000005</v>
      </c>
      <c r="H29" s="16">
        <f t="shared" si="2"/>
        <v>19</v>
      </c>
      <c r="I29" s="16">
        <f t="shared" si="2"/>
        <v>112</v>
      </c>
      <c r="J29" s="17">
        <f t="shared" si="3"/>
        <v>19</v>
      </c>
      <c r="K29" s="17">
        <f t="shared" si="3"/>
        <v>112</v>
      </c>
      <c r="L29" s="18"/>
      <c r="M29" s="19"/>
      <c r="N29" s="20"/>
      <c r="O29" s="20">
        <f t="shared" si="4"/>
        <v>0</v>
      </c>
      <c r="P29" s="20">
        <f t="shared" si="5"/>
        <v>0</v>
      </c>
      <c r="Q29" s="21">
        <f t="shared" si="0"/>
        <v>0.56800088028100804</v>
      </c>
    </row>
    <row r="30" spans="1:17" ht="16.5" x14ac:dyDescent="0.15">
      <c r="A30" s="2">
        <v>170</v>
      </c>
      <c r="B30" s="3">
        <v>255</v>
      </c>
      <c r="C30" s="4">
        <v>0</v>
      </c>
      <c r="D30" s="22">
        <v>0.30916030534351102</v>
      </c>
      <c r="E30" s="22">
        <v>0.56488549618320605</v>
      </c>
      <c r="F30" s="14">
        <f t="shared" si="1"/>
        <v>0.13500000000000001</v>
      </c>
      <c r="G30" s="15">
        <f t="shared" si="6"/>
        <v>0.55500000000000005</v>
      </c>
      <c r="H30" s="16">
        <f t="shared" si="2"/>
        <v>27</v>
      </c>
      <c r="I30" s="16">
        <f t="shared" si="2"/>
        <v>111</v>
      </c>
      <c r="J30" s="17">
        <f t="shared" si="3"/>
        <v>27</v>
      </c>
      <c r="K30" s="17">
        <f t="shared" si="3"/>
        <v>111</v>
      </c>
      <c r="L30" s="18"/>
      <c r="M30" s="19"/>
      <c r="N30" s="20"/>
      <c r="O30" s="20">
        <f t="shared" si="4"/>
        <v>0</v>
      </c>
      <c r="P30" s="20">
        <f t="shared" si="5"/>
        <v>0</v>
      </c>
      <c r="Q30" s="21">
        <f t="shared" si="0"/>
        <v>0.57118298293979297</v>
      </c>
    </row>
    <row r="31" spans="1:17" ht="16.5" x14ac:dyDescent="0.15">
      <c r="A31" s="2">
        <v>216</v>
      </c>
      <c r="B31" s="3">
        <v>255</v>
      </c>
      <c r="C31" s="4">
        <v>0</v>
      </c>
      <c r="D31" s="24">
        <v>0.36956521739130399</v>
      </c>
      <c r="E31" s="24">
        <v>0.53623188405797095</v>
      </c>
      <c r="F31" s="14">
        <f t="shared" si="1"/>
        <v>0.17</v>
      </c>
      <c r="G31" s="15">
        <f t="shared" si="6"/>
        <v>0.55500000000000005</v>
      </c>
      <c r="H31" s="16">
        <f t="shared" si="2"/>
        <v>34</v>
      </c>
      <c r="I31" s="16">
        <f t="shared" si="2"/>
        <v>111</v>
      </c>
      <c r="J31" s="17">
        <f t="shared" si="3"/>
        <v>34</v>
      </c>
      <c r="K31" s="17">
        <f t="shared" si="3"/>
        <v>111</v>
      </c>
      <c r="L31" s="25"/>
      <c r="M31" s="26"/>
      <c r="N31" s="27"/>
      <c r="O31" s="27">
        <f t="shared" si="4"/>
        <v>0</v>
      </c>
      <c r="P31" s="27">
        <f t="shared" si="5"/>
        <v>0</v>
      </c>
      <c r="Q31" s="28">
        <f t="shared" si="0"/>
        <v>0.58045240976328105</v>
      </c>
    </row>
  </sheetData>
  <phoneticPr fontId="9" type="noConversion"/>
  <conditionalFormatting sqref="Q2">
    <cfRule type="cellIs" dxfId="29" priority="28" stopIfTrue="1" operator="between">
      <formula>0</formula>
      <formula>0.006</formula>
    </cfRule>
    <cfRule type="cellIs" dxfId="28" priority="29" stopIfTrue="1" operator="between">
      <formula>0.006</formula>
      <formula>0.01</formula>
    </cfRule>
    <cfRule type="cellIs" dxfId="27" priority="30" stopIfTrue="1" operator="greaterThan">
      <formula>0.01</formula>
    </cfRule>
  </conditionalFormatting>
  <conditionalFormatting sqref="Q7">
    <cfRule type="cellIs" dxfId="26" priority="22" stopIfTrue="1" operator="between">
      <formula>0</formula>
      <formula>0.006</formula>
    </cfRule>
    <cfRule type="cellIs" dxfId="25" priority="23" stopIfTrue="1" operator="between">
      <formula>0.006</formula>
      <formula>0.01</formula>
    </cfRule>
    <cfRule type="cellIs" dxfId="24" priority="24" stopIfTrue="1" operator="greaterThan">
      <formula>0.01</formula>
    </cfRule>
  </conditionalFormatting>
  <conditionalFormatting sqref="Q12">
    <cfRule type="cellIs" dxfId="23" priority="16" stopIfTrue="1" operator="between">
      <formula>0</formula>
      <formula>0.006</formula>
    </cfRule>
    <cfRule type="cellIs" dxfId="22" priority="17" stopIfTrue="1" operator="between">
      <formula>0.006</formula>
      <formula>0.01</formula>
    </cfRule>
    <cfRule type="cellIs" dxfId="21" priority="18" stopIfTrue="1" operator="greaterThan">
      <formula>0.01</formula>
    </cfRule>
  </conditionalFormatting>
  <conditionalFormatting sqref="Q17">
    <cfRule type="cellIs" dxfId="20" priority="10" stopIfTrue="1" operator="between">
      <formula>0</formula>
      <formula>0.006</formula>
    </cfRule>
    <cfRule type="cellIs" dxfId="19" priority="11" stopIfTrue="1" operator="between">
      <formula>0.006</formula>
      <formula>0.01</formula>
    </cfRule>
    <cfRule type="cellIs" dxfId="18" priority="12" stopIfTrue="1" operator="greaterThan">
      <formula>0.01</formula>
    </cfRule>
  </conditionalFormatting>
  <conditionalFormatting sqref="Q22">
    <cfRule type="cellIs" dxfId="17" priority="4" stopIfTrue="1" operator="between">
      <formula>0</formula>
      <formula>0.006</formula>
    </cfRule>
    <cfRule type="cellIs" dxfId="16" priority="5" stopIfTrue="1" operator="between">
      <formula>0.006</formula>
      <formula>0.01</formula>
    </cfRule>
    <cfRule type="cellIs" dxfId="15" priority="6" stopIfTrue="1" operator="greaterThan">
      <formula>0.01</formula>
    </cfRule>
  </conditionalFormatting>
  <conditionalFormatting sqref="Q8:Q11">
    <cfRule type="cellIs" dxfId="14" priority="19" stopIfTrue="1" operator="between">
      <formula>0</formula>
      <formula>0.006</formula>
    </cfRule>
    <cfRule type="cellIs" dxfId="13" priority="20" stopIfTrue="1" operator="between">
      <formula>0.006</formula>
      <formula>0.01</formula>
    </cfRule>
    <cfRule type="cellIs" dxfId="12" priority="21" stopIfTrue="1" operator="greaterThan">
      <formula>0.01</formula>
    </cfRule>
  </conditionalFormatting>
  <conditionalFormatting sqref="Q13:Q16">
    <cfRule type="cellIs" dxfId="11" priority="13" stopIfTrue="1" operator="between">
      <formula>0</formula>
      <formula>0.006</formula>
    </cfRule>
    <cfRule type="cellIs" dxfId="10" priority="14" stopIfTrue="1" operator="between">
      <formula>0.006</formula>
      <formula>0.01</formula>
    </cfRule>
    <cfRule type="cellIs" dxfId="9" priority="15" stopIfTrue="1" operator="greaterThan">
      <formula>0.01</formula>
    </cfRule>
  </conditionalFormatting>
  <conditionalFormatting sqref="Q18:Q21">
    <cfRule type="cellIs" dxfId="8" priority="7" stopIfTrue="1" operator="between">
      <formula>0</formula>
      <formula>0.006</formula>
    </cfRule>
    <cfRule type="cellIs" dxfId="7" priority="8" stopIfTrue="1" operator="between">
      <formula>0.006</formula>
      <formula>0.01</formula>
    </cfRule>
    <cfRule type="cellIs" dxfId="6" priority="9" stopIfTrue="1" operator="greaterThan">
      <formula>0.01</formula>
    </cfRule>
  </conditionalFormatting>
  <conditionalFormatting sqref="Q23:Q26">
    <cfRule type="cellIs" dxfId="5" priority="1" stopIfTrue="1" operator="between">
      <formula>0</formula>
      <formula>0.006</formula>
    </cfRule>
    <cfRule type="cellIs" dxfId="4" priority="2" stopIfTrue="1" operator="between">
      <formula>0.006</formula>
      <formula>0.01</formula>
    </cfRule>
    <cfRule type="cellIs" dxfId="3" priority="3" stopIfTrue="1" operator="greaterThan">
      <formula>0.01</formula>
    </cfRule>
  </conditionalFormatting>
  <conditionalFormatting sqref="Q3:Q6 Q27:Q31">
    <cfRule type="cellIs" dxfId="2" priority="25" stopIfTrue="1" operator="between">
      <formula>0</formula>
      <formula>0.006</formula>
    </cfRule>
    <cfRule type="cellIs" dxfId="1" priority="26" stopIfTrue="1" operator="between">
      <formula>0.006</formula>
      <formula>0.01</formula>
    </cfRule>
    <cfRule type="cellIs" dxfId="0" priority="27" stopIfTrue="1" operator="greaterThan">
      <formula>0.01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20240226</vt:lpstr>
      <vt:lpstr>一次校准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2006-09-16T00:00:00Z</dcterms:created>
  <dcterms:modified xsi:type="dcterms:W3CDTF">2026-05-07T12:52:57Z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E82C6CEAA85E42E7870CBBD259779254_13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